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커리큘럼 디벨롭 &amp; 제안" sheetId="1" r:id="rId5"/>
    <sheet state="visible" name="강의 진행 캘린더" sheetId="2" r:id="rId6"/>
    <sheet state="visible" name="커리큘럼(작성용)" sheetId="3" r:id="rId7"/>
    <sheet state="visible" name="커리큘럼 예시 - 클로드코드 X 안티그래비티" sheetId="4" r:id="rId8"/>
    <sheet state="visible" name="커리큘럼 예시 - 세계 3등에게 배우는 13개 데이터 분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강사님 일정</t>
      </text>
    </comment>
    <comment authorId="0" ref="E8">
      <text>
        <t xml:space="preserve">기획자 일정</t>
      </text>
    </comment>
    <comment authorId="0" ref="E12">
      <text>
        <t xml:space="preserve">강사님 일정</t>
      </text>
    </comment>
    <comment authorId="0" ref="H13">
      <text>
        <t xml:space="preserve">데이터 시각화에 AI를 활용해 만들어 주신 작업물을 공유해 주세요! </t>
      </text>
    </comment>
    <comment authorId="0" ref="J13">
      <text>
        <t xml:space="preserve">데이터 시각화에 AI를 활용해 만들어 주신 작업물을 공유해 주세요! </t>
      </text>
    </comment>
    <comment authorId="0" ref="E22">
      <text>
        <t xml:space="preserve">강사님 일정</t>
      </text>
    </comment>
    <comment authorId="0" ref="P22">
      <text>
        <t xml:space="preserve">강사님 일정</t>
      </text>
    </comment>
    <comment authorId="0" ref="V23">
      <text>
        <t xml:space="preserve">첫 촬영 일자 다음 일자로 지정하였으나 4월 중 다른 일자로 변경 원하시면 말씀 주세요!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6">
      <text>
        <t xml:space="preserve">다차원 실시간 데이터 반영 (다차원 데이터를 활용 - 복잡한 차트, 여러 가지 다량의 데이터 등) &gt; 카피 변경 필요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담당 APM 외 체크 표시 및 해제 금지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해당 열은 담당 APM이 체크하는 영역입니다.</t>
      </text>
    </comment>
    <comment authorId="0" ref="F37">
      <text>
        <t xml:space="preserve">https://medium.com/make-your-data-speak/your-dashboard-is-a-bit-crooked-b2e8c994f082</t>
      </text>
    </comment>
  </commentList>
</comments>
</file>

<file path=xl/sharedStrings.xml><?xml version="1.0" encoding="utf-8"?>
<sst xmlns="http://schemas.openxmlformats.org/spreadsheetml/2006/main" count="1414" uniqueCount="559">
  <si>
    <t>커리큘럼 초본</t>
  </si>
  <si>
    <t>학습 내용 설명 (미팅)</t>
  </si>
  <si>
    <t>커리큘럼 디벨롭 (미팅)</t>
  </si>
  <si>
    <t>기획자 의견</t>
  </si>
  <si>
    <t>Part 00</t>
  </si>
  <si>
    <t xml:space="preserve">인트로 </t>
  </si>
  <si>
    <t>개괄 클립 1</t>
  </si>
  <si>
    <t>(승현) 갓생 템플릿이 아닌 갓생 공식에 가깝다?</t>
  </si>
  <si>
    <r>
      <rPr>
        <rFont val="Arial"/>
        <color rgb="FF222222"/>
      </rPr>
      <t xml:space="preserve">(11/27) 윤규님, 꼼꼼히 초안 기획해주셔서 감사합니다. 기획자 관점에서의 의견을 드립니다.
(1) </t>
    </r>
    <r>
      <rPr>
        <rFont val="Arial"/>
        <b/>
        <color rgb="FF222222"/>
      </rPr>
      <t>인트로 섹션(Part 00)을 제안드립니다.</t>
    </r>
    <r>
      <rPr>
        <rFont val="Arial"/>
        <color rgb="FF222222"/>
      </rPr>
      <t xml:space="preserve"> 우리가 어떤 목적을 가지고 이 강의를 설계했는지, 물길 파기부터 스트레스 컨트롤까지 어떻게 이어지는 지 먼저 그림을 그려주는 것입니다. 이 클립은 추후 유튜브 업로드 및 마케팅 목적으로 활용해도 좋겠습니다.
(2) </t>
    </r>
    <r>
      <rPr>
        <rFont val="Arial"/>
        <b/>
        <color rgb="FF222222"/>
      </rPr>
      <t xml:space="preserve">현재 챕터를 클립(하위항목)으로 내리고, 클립을 묶을 수 있는 챕터명을 함께 고민하려고 합니다. </t>
    </r>
    <r>
      <rPr>
        <rFont val="Arial"/>
        <color rgb="FF222222"/>
      </rPr>
      <t xml:space="preserve">이 때 챕터명은 목적지향적이어야 합니다. 추측컨데 '리버스 플래닝'부터 '세부계획표 작성'은 &lt;갓생 설계를 위한 계획표 작성의 기본&gt; 정도로 묶어줄 수 있을 것 같습니다. 
(3) </t>
    </r>
    <r>
      <rPr>
        <rFont val="Arial"/>
        <b/>
        <color rgb="FF222222"/>
      </rPr>
      <t>클립명을 좀 더 목적지향적으로, 범주화하여 쓰려고 합니다.</t>
    </r>
    <r>
      <rPr>
        <rFont val="Arial"/>
        <color rgb="FF222222"/>
      </rPr>
      <t xml:space="preserve"> 우선은 큰 그림을 잡는 과정이니 윤규님의 언어로 표현된 부분이 많은데요. 예를 들어 '어치브먼트 트랙킹'은 '[템플릿 3] 성과를 두 눈으로 확인하는 어치브먼트 트랙킹' 정도로 바꿀 수 있을 것 같습니다. 
(4) </t>
    </r>
    <r>
      <rPr>
        <rFont val="Arial"/>
        <b/>
        <color rgb="FF222222"/>
      </rPr>
      <t>여전히 직장인을 위한 '시험 공부법' 파트가 필요하다고 느껴집니다.</t>
    </r>
    <r>
      <rPr>
        <rFont val="Arial"/>
        <color rgb="FF222222"/>
      </rPr>
      <t xml:space="preserve"> 갓생 계획을 '유료 강의'로 듣고, '템플릿'을 확보하려는 수강생들은 '눈에 보이는 성취'에 대한 욕구가 대단히 크다고 생각합니다(이는 기획자인 저도 마찬가지입니다). 따라서 숫자로 증명할 수 있는 [시험성적] 또는 [자격증]에 도전하는 모수가 [독서]에 관심이 많은 모수보다는 클 것으로 보여집니다. 만약 이 부분이 이미 들어가있다면, 클립명 변경을 통해 드러내는 방법도 있습니다.
(11/29) 미팅 시 추가로 여쭤볼 것
- 증명사진 어느 정도 있는지, 상세페이지용 사진 쓸 만한 것이 없다면 프로필사진 촬영 진행 가능(강남 지순담)
- 유튜브 콘텐츠 촬영 지원 가능(스튜디오 촬영 또는 편집) </t>
    </r>
  </si>
  <si>
    <t>개괄 클립 2</t>
  </si>
  <si>
    <t>수학 공식을 의미하는 디자인, 유선형보다는 네모반듯하게, 이미지 대신 공식으로.</t>
  </si>
  <si>
    <t>OO가지의 공식과 템플릿, 그 중에 다섯가지, 아니 세 가지만 알아가도 당신의 인생이 바뀌기 시작한다.</t>
  </si>
  <si>
    <t>시간이 줄줄 새는 직장인의 하루 일과를 일러스트로 표현하기(상페)
이 강의는 여러분에게 열심히 하라고 말하지 않습니다. 
당신이 화장실에 앉아 무엇을 해야 하는 지까지 정해줍니다. 
누가 감히 그런 일을 할 수 있을까요? 윤규님 이력과 비즈니스 나열</t>
  </si>
  <si>
    <t>Part 01</t>
  </si>
  <si>
    <t>디폴트값 조정하기(1) - 물길 파기</t>
  </si>
  <si>
    <t>클립</t>
  </si>
  <si>
    <t>계획</t>
  </si>
  <si>
    <t>수치화를 통한 인식재구성</t>
  </si>
  <si>
    <t>[인생 플랜] 80세 인생, 4160주, 네모로 그려서 보고, 만족스러웠던 주는 초록색, 불만족은 빨간색, 정량화. 한 주 한 주, 이미지화 해보기</t>
  </si>
  <si>
    <t>아이디어 카탈리스트</t>
  </si>
  <si>
    <t>[만다라트 기법] 사용하기. 무엇을 좋아하고, 하고 싶은지. 질문의 형태로 바꿔보기.</t>
  </si>
  <si>
    <t>해야할 일, 하고 싶은 일.</t>
  </si>
  <si>
    <t>리버스 플래닝</t>
  </si>
  <si>
    <t>[계획 분해] 미래에서 현재로 돌아오는, 미래에 100권을 읽었다고 하면, 과거인 오늘에는 N장을 읽으면 되겠다.</t>
  </si>
  <si>
    <t>플래닝 3원칙(구체화, 수치화, 최소화)</t>
  </si>
  <si>
    <r>
      <rPr>
        <rFont val="Arial"/>
        <color theme="1"/>
      </rPr>
      <t xml:space="preserve">[마케팅] 책을 많이 읽겠다 (X), 오늘 4시까지 N장을 읽겠다 (O), 수량, 데드라인, </t>
    </r>
    <r>
      <rPr>
        <rFont val="Arial"/>
        <b/>
        <color theme="1"/>
      </rPr>
      <t>새해 계획을 지키는 8%에 들어가는 사람. 최소한만 계획해야 한다.</t>
    </r>
  </si>
  <si>
    <t>우선순위 재조정</t>
  </si>
  <si>
    <r>
      <rPr>
        <rFont val="Arial"/>
        <color theme="1"/>
      </rPr>
      <t>[비교]</t>
    </r>
    <r>
      <rPr>
        <rFont val="Arial"/>
        <strike/>
        <color theme="1"/>
      </rPr>
      <t xml:space="preserve"> 이익과 불이익을 나눈다. </t>
    </r>
    <r>
      <rPr>
        <rFont val="Arial"/>
        <color theme="1"/>
      </rPr>
      <t>보다 중요도를 나눈다, 무엇이 결과에 도움이 되는가. 아이젠하워 원칙. 4사분면.</t>
    </r>
  </si>
  <si>
    <t>사전 프로세스 시뮬레이션</t>
  </si>
  <si>
    <t>Cold State 이성적인 상황에서 계획을 한다. Hot State, 실제 하고 있는 상황에서, 진짜 할 수 있는지 확인한다.</t>
  </si>
  <si>
    <t>실행</t>
  </si>
  <si>
    <t>세부계획표 작성</t>
  </si>
  <si>
    <t>모든 파일의 첫 페이지를 계획표로 만들어라. 포스트잇 준비. 예시를 많이 보여주기(윤규님)</t>
  </si>
  <si>
    <t>원인-결과 점검(미라클 모닝 등)</t>
  </si>
  <si>
    <t xml:space="preserve">[피드백] 성과로 연결되었는지, 미라클 모닝을 하는게 중요한게 아니고, </t>
  </si>
  <si>
    <t>선 잇기, 성공/실패 --&gt; 시각화, 밀도 확인</t>
  </si>
  <si>
    <t>어치브먼트 트랙킹</t>
  </si>
  <si>
    <t>가장 마지막 일만 많이 기억한다. 그래서 전체적으로 내가 진짜 뭘 했는지, 처음부터 확인하는. 표처럼 만든다.</t>
  </si>
  <si>
    <t>플로우 아키텍쳐</t>
  </si>
  <si>
    <t>[루틴] 아침에는 무슨 일을 하는지, 저녁에는 뭘 해야 할지. 나만의 루틴이 생기기 시작한다.</t>
  </si>
  <si>
    <t>Part 02</t>
  </si>
  <si>
    <t>디폴트값 조정하기(2) - 방해물 제거</t>
  </si>
  <si>
    <t>시작 프로그램, PC 바탕화면, 폰화면 셋팅</t>
  </si>
  <si>
    <t>폴더 몰아넣고, 주기적으로 변경하는 원칙, 시작 프로그램 세팅법, 폰화면도 첫 화면 비워져야,</t>
  </si>
  <si>
    <t>아주 구체적인 지침 준다 마케팅</t>
  </si>
  <si>
    <t>PAIN-GAIN 비교하기</t>
  </si>
  <si>
    <t>놀고 싶고 술 마시고 싶다? 이걸 표로 표기하기. 일 못한 괴로움은 80. 술 참은 페인은 10. 수치화시켜서 비교하는 것. 저울처럼 비교할 수 있는 표를 준다.</t>
  </si>
  <si>
    <t>인지재구성 솔루션</t>
  </si>
  <si>
    <t>[스트레스] 관리. 바꿀 수 없는, 통제불가능성 스트레스. 4대 보험 안 주면, 그걸 내가 어케 바꾸나? 이런 것들. 표 준다. 이성적 대처법. 솔루션을 내는 방법.</t>
  </si>
  <si>
    <t>아무리 계획을 잘 짜도, 외부 요인이 있으면 진행 어렵다.</t>
  </si>
  <si>
    <t>Part 03</t>
  </si>
  <si>
    <t>시간관리 원동력 발견하기</t>
  </si>
  <si>
    <t>'개인적' 천재성 찾기</t>
  </si>
  <si>
    <r>
      <rPr>
        <rFont val="Arial"/>
        <color theme="1"/>
      </rPr>
      <t xml:space="preserve">자신만의 재능을 찾아야 한다. 윤규님 &lt;-- 수집에 천재적. 개인의 의미를 재발견하는 것이 중요하다. 정리, 힘, 사람 만나는 것 등. 재능 현미경 들여다보기. 낙관은 학습된다. &lt;-- </t>
    </r>
    <r>
      <rPr>
        <rFont val="Arial"/>
        <b/>
        <color theme="1"/>
      </rPr>
      <t>원동력 찾기</t>
    </r>
  </si>
  <si>
    <t>인생계획표 속에서 현재 조감하기</t>
  </si>
  <si>
    <t>100살까지의 계획이 있는 사람인가 아닌가. 머릿속에는 있지만 계획표는 없을 수 있음. 3~5년 표.</t>
  </si>
  <si>
    <t>강점·단점 리프레이밍 전략</t>
  </si>
  <si>
    <t>나의 강점과 단점 활용. 예를 들어 책을 늦게 읽으면, 나는 꼼꼼함에 장점이 있음. 동기부여 받는 것. 리프레이밍.</t>
  </si>
  <si>
    <t>'언더마이닝 효과' 피하기</t>
  </si>
  <si>
    <t xml:space="preserve">동기부여는 내부에서 나오는 것 (일 잘 끝나면 술 마신다), 인센을 받으면 자발적인 업무가 어렵다. 내부에서 오는 동기를 어떻게 찾는지. </t>
  </si>
  <si>
    <t>Part 04</t>
  </si>
  <si>
    <t>효율성 유지, 향상 방법</t>
  </si>
  <si>
    <t>프라이밍 효과</t>
  </si>
  <si>
    <t>[긍정 확언] 사회과학, 뇌과학 측면에서 증명된 것. 영상, 확언, 일기중에 반드시 하나를 한다. 기록하는 노트 마련. 어떤 것이 앞에 오는지에 따라 하루가 결정된다.</t>
  </si>
  <si>
    <t>3상과 3B, 자투리시간의 활용법</t>
  </si>
  <si>
    <t>Bus Bed Bathroom, 이런 시간들을 어떻게 활용하는지, 즙을 짜는 방법. 3상: 마상, 침상, 책상</t>
  </si>
  <si>
    <t>외부 요인</t>
  </si>
  <si>
    <t>동료효과</t>
  </si>
  <si>
    <t>5가지 원칙, 나보다 잘 하는 사람과 함께 해야 한다.</t>
  </si>
  <si>
    <t>환경 세팅</t>
  </si>
  <si>
    <t>관찰자효과</t>
  </si>
  <si>
    <t>카페, 스터디룸 등 과거의 나로부터 반추하여 어디서 집중할 수 있는지.</t>
  </si>
  <si>
    <t>구체적 실행 전략</t>
  </si>
  <si>
    <t>단위편향</t>
  </si>
  <si>
    <t>집중, 몰입하는 시간을 트래킹하고, 5~10퍼센트 더 사용하는 방법</t>
  </si>
  <si>
    <t>마이크로 태스킹</t>
  </si>
  <si>
    <t>하나의 일을 할 때, 태스크를 세분화하여 목표 결정하기. 순서를 재배치 해 보면 피드백이 가능하다.</t>
  </si>
  <si>
    <t>데드라인 이펙트</t>
  </si>
  <si>
    <t>폰 어플 깔아서, 시간 맞춰서 하는 것 보여준다. 현재 하는 일을 체크하기.</t>
  </si>
  <si>
    <t>Part 05</t>
  </si>
  <si>
    <t>각성상태, 스트레스 컨트롤</t>
  </si>
  <si>
    <t>여키스-도슨의 법칙</t>
  </si>
  <si>
    <t>화이트 노이즈, 음악, 카페 등등, 어떤 상황에서, 외부 자극을 어떻게 활용하는지 (음악 등) 이론 바탕</t>
  </si>
  <si>
    <t>스트레스 분석법</t>
  </si>
  <si>
    <t>장기 스트레스? 단기? 이것에 따라서 솔루션이 다를 수 밖에 없음. 심지어 영양상태까지 봐야 하는 경우도 있다. 스트레스 온도계 &lt;-- 수치화해서</t>
  </si>
  <si>
    <t>수치화, 정량화가 강의의 핵심.</t>
  </si>
  <si>
    <t>하이라이트 릴</t>
  </si>
  <si>
    <t>오늘 하루 열심히 살았어도, 기분이 구리구리할 때가 있다. 그럴 때 기분 전환을 하려면, 인생 전체를 봐야 한다.</t>
  </si>
  <si>
    <t>템포와 타이밍</t>
  </si>
  <si>
    <t xml:space="preserve">시간개념 (라틴:템포 위주, 게르만:끊어서). </t>
  </si>
  <si>
    <t>미팅·팀플 효율 200% 높이기</t>
  </si>
  <si>
    <t>원칙 8가지. 사전 미팅 진행하는 방법(카톡방 익명). 액션 플랜, 서식 위주</t>
  </si>
  <si>
    <t>가능하다면, 이런 클립이 Part 1부터 더 많이 등장하면 좋을 것 같습니다. 내용을 바꾸기 보다는,
이처럼 실제 사례(미팅/팀플)와 연결지을 수 있도록 클립명에서도 예시를 주면 어떨까요?</t>
  </si>
  <si>
    <t>매몰비용 효과</t>
  </si>
  <si>
    <t>기존 쏟은 비용 고민하지 말고, 방향 전환 바로 될 수 있도록 마인드셋</t>
  </si>
  <si>
    <t>Part 06</t>
  </si>
  <si>
    <t>빠른 앎을 설계하는 방법</t>
  </si>
  <si>
    <t>모델 드릴링</t>
  </si>
  <si>
    <t>어떤 특정한 모델을 주고, 저자의 사고, 가치관 등을 알 수 있다.</t>
  </si>
  <si>
    <t xml:space="preserve">합격수기? 수험생에게 있어서 모델 드릴링. </t>
  </si>
  <si>
    <t>러닝 커리큘럼 만들기</t>
  </si>
  <si>
    <t>구체적으로 여기서 무엇을 해야 목표를 달성할 수 있는지 알 수 있다. 나만의 공부법 만들기.</t>
  </si>
  <si>
    <t>목적 없는 독서가 가장 위험하다</t>
  </si>
  <si>
    <t>나한테 맞는 책을 선택하고 읽는 방법.</t>
  </si>
  <si>
    <t>아웃풋을 위한 책 선택법</t>
  </si>
  <si>
    <t>결과를 내기 위한 독서하는 방법.</t>
  </si>
  <si>
    <t>자기화, 내재화, 이해</t>
  </si>
  <si>
    <t>일단은 있는 그대로 이해하라</t>
  </si>
  <si>
    <t>서식 &lt;-- 보고 쓰기만 하면 책 내용을 이해할 수 있다.</t>
  </si>
  <si>
    <t>자기언어화 기술</t>
  </si>
  <si>
    <t xml:space="preserve">요약, 쉬운 말 바꾸고, 다시 요약 &lt;-- 3단계로 요약하면 </t>
  </si>
  <si>
    <t>저자의 죽음과 독자의 탄생</t>
  </si>
  <si>
    <t>종이책을 읽으면 그걸 잘 공유하지 않는다. 그걸 쓸 수 있어야 하는데, 그 기법들을 알려준다.</t>
  </si>
  <si>
    <t xml:space="preserve">토익 시험, 한국사 자격증 등을 </t>
  </si>
  <si>
    <t>초록색 하이라이트</t>
  </si>
  <si>
    <t>는 기획자 일정,</t>
  </si>
  <si>
    <t>노란색 하이라이트</t>
  </si>
  <si>
    <t>는 강사님 일정입니다.</t>
  </si>
  <si>
    <t>26년 3월</t>
  </si>
  <si>
    <t>26년 4월</t>
  </si>
  <si>
    <t>주별</t>
  </si>
  <si>
    <t>월</t>
  </si>
  <si>
    <t>화</t>
  </si>
  <si>
    <t>수</t>
  </si>
  <si>
    <t>목</t>
  </si>
  <si>
    <t>금</t>
  </si>
  <si>
    <t>토</t>
  </si>
  <si>
    <t>일</t>
  </si>
  <si>
    <t>✔️</t>
  </si>
  <si>
    <t xml:space="preserve">2/27(금) 커리큘럼 초안 전달 완료 </t>
  </si>
  <si>
    <t>3/3(화) 커리큘럼 초안 확인 완료</t>
  </si>
  <si>
    <t>커리큘럼 초안
확인 완료</t>
  </si>
  <si>
    <t xml:space="preserve">3/12(목) 포트폴리오 공유 </t>
  </si>
  <si>
    <t xml:space="preserve">포트폴리오 공유 </t>
  </si>
  <si>
    <t>3/24(화), 3/26(목) 
상세페이지 자료 수급</t>
  </si>
  <si>
    <t>상세페이지 
자료 수급 (1/2)</t>
  </si>
  <si>
    <t>상세페이지 
자료 수급 (2/2)</t>
  </si>
  <si>
    <t>◎ 상세 커리큘럼 및 촬영 편집 일정</t>
  </si>
  <si>
    <r>
      <rPr>
        <rFont val="Arial"/>
        <b/>
        <color rgb="FF1155CC"/>
      </rPr>
      <t>Step 1)</t>
    </r>
    <r>
      <rPr>
        <rFont val="Arial"/>
        <color rgb="FF000000"/>
      </rPr>
      <t xml:space="preserve"> 강의 촬영 시작 전 </t>
    </r>
    <r>
      <rPr>
        <rFont val="Arial"/>
        <b/>
        <color rgb="FF1155CC"/>
      </rPr>
      <t>파란색 부분</t>
    </r>
    <r>
      <rPr>
        <rFont val="Arial"/>
        <color rgb="FF000000"/>
      </rPr>
      <t xml:space="preserve">의 커리큘럼을 미리 완성 부탁드립니다.
</t>
    </r>
    <r>
      <rPr>
        <rFont val="Arial"/>
        <color rgb="FF000000"/>
        <sz val="8.0"/>
      </rPr>
      <t xml:space="preserve"> </t>
    </r>
    <r>
      <rPr>
        <rFont val="Arial"/>
        <color rgb="FF000000"/>
      </rPr>
      <t xml:space="preserve">
</t>
    </r>
    <r>
      <rPr>
        <rFont val="Arial"/>
        <b/>
        <color rgb="FFCC0000"/>
      </rPr>
      <t>Step 2)</t>
    </r>
    <r>
      <rPr>
        <rFont val="Arial"/>
        <b/>
        <color rgb="FF000000"/>
      </rPr>
      <t xml:space="preserve"> </t>
    </r>
    <r>
      <rPr>
        <rFont val="Arial"/>
        <color rgb="FF000000"/>
      </rPr>
      <t xml:space="preserve">강의 영상은 클립별로 저장 부탁드리며,  저장명은 </t>
    </r>
    <r>
      <rPr>
        <rFont val="Arial"/>
        <b/>
        <color rgb="FFFF0000"/>
      </rPr>
      <t>빨간색 부분</t>
    </r>
    <r>
      <rPr>
        <rFont val="Arial"/>
        <color rgb="FF000000"/>
      </rPr>
      <t xml:space="preserve">을 복사하여 저장 부탁드립니다.
</t>
    </r>
    <r>
      <rPr>
        <rFont val="Arial"/>
        <b/>
        <color rgb="FFFF9900"/>
      </rPr>
      <t>Step 3)</t>
    </r>
    <r>
      <rPr>
        <rFont val="Arial"/>
        <color rgb="FF000000"/>
      </rPr>
      <t xml:space="preserve"> 촬영 후 </t>
    </r>
    <r>
      <rPr>
        <rFont val="Arial"/>
        <b/>
        <color rgb="FFFF9900"/>
      </rPr>
      <t>주황색 부분</t>
    </r>
    <r>
      <rPr>
        <rFont val="Arial"/>
        <color rgb="FF000000"/>
      </rPr>
      <t xml:space="preserve">을 꼭 체크 부탁 드립니다.
             &gt; 실제 촬영 시간은 대략적으로 적어주시면 됩니다.
             &gt; 기입 이유는 수강생에게 제공될 강의 총 양을 미리 확인하기 위함입니다.
             &gt; </t>
    </r>
    <r>
      <rPr>
        <rFont val="Arial"/>
        <color rgb="FFFF0000"/>
      </rPr>
      <t xml:space="preserve">커리큘럼이 수정되는 경우 꼭 </t>
    </r>
    <r>
      <rPr>
        <rFont val="Arial"/>
        <b/>
        <color rgb="FFFF0000"/>
      </rPr>
      <t>O열</t>
    </r>
    <r>
      <rPr>
        <rFont val="Arial"/>
        <color rgb="FFFF0000"/>
      </rPr>
      <t xml:space="preserve"> 메모에 기입을 부탁드립니다. (상세페이지 수정 및 교육 안내서 수정에 필요)</t>
    </r>
  </si>
  <si>
    <t>작성 예시</t>
  </si>
  <si>
    <r>
      <rPr>
        <color rgb="FF1155CC"/>
        <u/>
      </rPr>
      <t>파트 &gt; 챕터 &gt; 클립 구분</t>
    </r>
    <r>
      <rPr>
        <color rgb="FF000000"/>
        <u/>
      </rPr>
      <t xml:space="preserve"> (링크를 클릭하시면 샘플 이미지를 확인하실 수 있습니다.)</t>
    </r>
  </si>
  <si>
    <t>담당자</t>
  </si>
  <si>
    <t>김승주 / seungju.kim@day1company.co.kr / 010-3071-6778</t>
  </si>
  <si>
    <t xml:space="preserve">강의명 : </t>
  </si>
  <si>
    <t>세계 3등에게 배우는 AI 데이터 시각화</t>
  </si>
  <si>
    <t>내용 변경 사항은 노랑색 형광펜 표시해두었습니다! :)</t>
  </si>
  <si>
    <t>강의자료</t>
  </si>
  <si>
    <t>계약서</t>
  </si>
  <si>
    <t xml:space="preserve">강사님 : </t>
  </si>
  <si>
    <t xml:space="preserve">전서연 강사님 </t>
  </si>
  <si>
    <t>총 시간</t>
  </si>
  <si>
    <t>제작기간</t>
  </si>
  <si>
    <t xml:space="preserve">* 강의 챕터명은 레퍼런스 참고하여 자유롭게 구성 부탁드립니다. </t>
  </si>
  <si>
    <t>담당자 확인</t>
  </si>
  <si>
    <t>패캠 작성</t>
  </si>
  <si>
    <t>강사님 작성</t>
  </si>
  <si>
    <t>▼ Step 2 - 영상 저장 ▼</t>
  </si>
  <si>
    <t>▼ Step 3 - 촬영 후 체크 ▼</t>
  </si>
  <si>
    <t>촬영 완료</t>
  </si>
  <si>
    <t>파트 번호</t>
  </si>
  <si>
    <t>파트명</t>
  </si>
  <si>
    <t>챕터 번호</t>
  </si>
  <si>
    <t>챕터명</t>
  </si>
  <si>
    <t>Clip 번호</t>
  </si>
  <si>
    <t>Clip 명</t>
  </si>
  <si>
    <t>예상 시간</t>
  </si>
  <si>
    <t>촬영 예정일
(납기 기한)</t>
  </si>
  <si>
    <t>편집
접수</t>
  </si>
  <si>
    <t>강의자료
업로드 완료</t>
  </si>
  <si>
    <r>
      <rPr>
        <rFont val="Arial"/>
        <b/>
        <color rgb="FFFFFFFF"/>
        <sz val="11.0"/>
      </rPr>
      <t xml:space="preserve">강사님 저장용 클립명 </t>
    </r>
    <r>
      <rPr>
        <rFont val="Arial"/>
        <b val="0"/>
        <color rgb="FFFFFFFF"/>
        <sz val="11.0"/>
      </rPr>
      <t>(자동 완성 / 수정 금지)</t>
    </r>
  </si>
  <si>
    <t>촬영 완료일</t>
  </si>
  <si>
    <t>촬영 시간</t>
  </si>
  <si>
    <t>편집 요청 사항 및 메모</t>
  </si>
  <si>
    <t>강의 자료명</t>
  </si>
  <si>
    <t>오픈 일정</t>
  </si>
  <si>
    <t>Part</t>
  </si>
  <si>
    <t>Chapter</t>
  </si>
  <si>
    <t>Clip</t>
  </si>
  <si>
    <t>오리엔테이션</t>
  </si>
  <si>
    <t>CH01</t>
  </si>
  <si>
    <t>강의 소개</t>
  </si>
  <si>
    <t>01</t>
  </si>
  <si>
    <t>세계 3등이 말하는 AI 데이터 시각화란?</t>
  </si>
  <si>
    <t>02</t>
  </si>
  <si>
    <t>실습 환경 셋업 (Claude Code, Antigravity)</t>
  </si>
  <si>
    <t>Claude Code 핵심 마스터</t>
  </si>
  <si>
    <t>Claude Code 첫 걸음</t>
  </si>
  <si>
    <t>Claude Code 설치 &amp; 첫 번째 세션 시작하기</t>
  </si>
  <si>
    <t>CLAUDE.md — 프로젝트 전용 AI 두뇌 설계</t>
  </si>
  <si>
    <t>03</t>
  </si>
  <si>
    <t>기본 워크플로우: 파일 읽기·쓰기·실행</t>
  </si>
  <si>
    <t>04</t>
  </si>
  <si>
    <t>Plan 모드 &amp; Checkpoint로 안전하게 작업하기</t>
  </si>
  <si>
    <t>05</t>
  </si>
  <si>
    <t>Fast Mode &amp; 비용 관리 전략</t>
  </si>
  <si>
    <t>CH02</t>
  </si>
  <si>
    <t>서브에이전트 시스템</t>
  </si>
  <si>
    <t>서브에이전트란? Explore / Plan / General-purpose 완전 이해</t>
  </si>
  <si>
    <t>데이터 분석 전용 커스텀 서브에이전트 만들기</t>
  </si>
  <si>
    <t>서브에이전트 도구 제한 &amp; 비용 최적화 전략</t>
  </si>
  <si>
    <t>CH03</t>
  </si>
  <si>
    <t>에이전트 팀 코워크 (Agent Teams)</t>
  </si>
  <si>
    <t>에이전트 팀 vs 서브에이전트 — 언제 어떤 걸 써야 하나?</t>
  </si>
  <si>
    <t>팀장 + 팀원 설정 &amp; 병렬 작업 시작하기</t>
  </si>
  <si>
    <t>팀원 간 직접 소통 &amp; 공유 태스크 리스트 운영</t>
  </si>
  <si>
    <t>에이전트 팀으로 대규모 데이터 분석 자동화 실습</t>
  </si>
  <si>
    <t>Claude Code 멀티 환경 &amp; 확장</t>
  </si>
  <si>
    <t>멀티 환경 활용</t>
  </si>
  <si>
    <t>Desktop App — 병렬 세션 &amp; Git 격리 &amp; 비주얼 Diff 리뷰</t>
  </si>
  <si>
    <t>Claude Code on the Web — 비동기 클라우드 실행</t>
  </si>
  <si>
    <t>Chrome 연동 — 웹 대시보드 자동 테스트 &amp; 디버깅</t>
  </si>
  <si>
    <t>MCP &amp; 외부 도구 연동</t>
  </si>
  <si>
    <t>MCP (Model Context Protocol) 개념 &amp; 설치</t>
  </si>
  <si>
    <t>Google Sheets MCP로 데이터 자동 연동하기</t>
  </si>
  <si>
    <t>Slack / 이메일 MCP로 자동 알림 파이프라인 만들기</t>
  </si>
  <si>
    <t>Hooks &amp; Skills — 반복 워크플로우 자동화</t>
  </si>
  <si>
    <t>AI 기반 시각화 설계 전략</t>
  </si>
  <si>
    <t>Claude로 시각화 전략 자동 설계</t>
  </si>
  <si>
    <t>데이터 구조 분석 → 시각화 전략 자동 도출</t>
  </si>
  <si>
    <t>KPI 히어라키 자동 설계하기</t>
  </si>
  <si>
    <t>시각화 설명 문구 자동 생성</t>
  </si>
  <si>
    <t>Claude Code로 계산식 자동 생성 실습</t>
  </si>
  <si>
    <t>데이터 전처리 자동화 파이프라인 구축</t>
  </si>
  <si>
    <t>06</t>
  </si>
  <si>
    <t>시각화 자동화 전체 워크플로우 완성하기</t>
  </si>
  <si>
    <t>07</t>
  </si>
  <si>
    <t>비즈니스 데이터 시각화 프로젝트</t>
  </si>
  <si>
    <t>고급 시각화 확장</t>
  </si>
  <si>
    <t>D3.js 커스텀 시각화</t>
  </si>
  <si>
    <t>D3.js 기초 — Claude Code로 30분 만에 익히기</t>
  </si>
  <si>
    <t>인터랙티브 차트 제작 실습</t>
  </si>
  <si>
    <t>Tableau Extensions API 연동</t>
  </si>
  <si>
    <t>커스텀 Extension 배포하기</t>
  </si>
  <si>
    <t>어벤져스급 스케일의 화려한 데이터 시각화 프로젝트</t>
  </si>
  <si>
    <t>Claude Code x Antigravity 시각화</t>
  </si>
  <si>
    <t>Antigravity 소개 &amp; 셋업</t>
  </si>
  <si>
    <t>Claude Code + Antigravity 실전 프로젝트</t>
  </si>
  <si>
    <t>웹용 포트폴리오 블로그 만들기</t>
  </si>
  <si>
    <t>AI 생성 시각화 디자인 완성하기</t>
  </si>
  <si>
    <t>직무별 실전 프로젝트</t>
  </si>
  <si>
    <t>마케팅 — 캠페인 전략 인사이트 대시보드</t>
  </si>
  <si>
    <t>마케팅 KPI 데이터 구조 설계</t>
  </si>
  <si>
    <t>채널별 ROI·전환율 시각화</t>
  </si>
  <si>
    <t>Claude Code로 자동 인사이트 &amp; 코멘터리 생성</t>
  </si>
  <si>
    <t>완성 대시보드 리뷰 &amp; 개선 포인트</t>
  </si>
  <si>
    <t>데이터 분석 — A/B 테스트 분석 대시보드</t>
  </si>
  <si>
    <t>A/B 테스트 시각화</t>
  </si>
  <si>
    <t>드릴다운 필터 &amp; 자동화 분석</t>
  </si>
  <si>
    <t>완성 대시보드 리뷰</t>
  </si>
  <si>
    <t>PM / 사업기획 — 전략 KPI 맵 시각화</t>
  </si>
  <si>
    <t>OKR-KPI 연결 구조 시각화</t>
  </si>
  <si>
    <t>경영진 보고용 One-page 대시보드</t>
  </si>
  <si>
    <t>CH04</t>
  </si>
  <si>
    <t>운영 / 세일즈 — 리텐션 &amp; 매출 변동 분석</t>
  </si>
  <si>
    <t>코호트 분석 시각화</t>
  </si>
  <si>
    <t>매출 예측 &amp; 변동 고급 분석 시각화</t>
  </si>
  <si>
    <t>CH05</t>
  </si>
  <si>
    <t>HR — 채용 퍼널 분석 대시보드</t>
  </si>
  <si>
    <t>채용 퍼널 분석 시각화</t>
  </si>
  <si>
    <t>채용 현황 &amp; 변동 분석</t>
  </si>
  <si>
    <t>AI 업무자동화 실전</t>
  </si>
  <si>
    <t>업무 자동화 기초</t>
  </si>
  <si>
    <t>업무자동화란? — AI 에이전트로 반복 업무 제거하기</t>
  </si>
  <si>
    <t>Claude Code로 엑셀/CSV 자동 가공하기</t>
  </si>
  <si>
    <t>정기 리포트 자동 생성 파이프라인</t>
  </si>
  <si>
    <t>Headless 모드 &amp; GitHub Actions로 자동화 배포</t>
  </si>
  <si>
    <t>Openclaw로 AI 에이전트 업무 파이프라인</t>
  </si>
  <si>
    <t>에이전트 팀으로 복잡한 업무 처리하기 실전</t>
  </si>
  <si>
    <t>주간 리포트 봇 만들기 — 수집·분석·발송 자동화</t>
  </si>
  <si>
    <t>자동화 서비스 배포 &amp; 운영</t>
  </si>
  <si>
    <r>
      <rPr>
        <rFont val="Arial"/>
        <b/>
        <color rgb="FF1155CC"/>
      </rPr>
      <t>Step 1)</t>
    </r>
    <r>
      <rPr>
        <rFont val="Arial"/>
        <color rgb="FF000000"/>
      </rPr>
      <t xml:space="preserve"> 강의 촬영 시작 전 </t>
    </r>
    <r>
      <rPr>
        <rFont val="Arial"/>
        <b/>
        <color rgb="FF1155CC"/>
      </rPr>
      <t>파란색 부분</t>
    </r>
    <r>
      <rPr>
        <rFont val="Arial"/>
        <color rgb="FF000000"/>
      </rPr>
      <t xml:space="preserve">의 커리큘럼을 미리 완성 부탁드립니다.
</t>
    </r>
    <r>
      <rPr>
        <rFont val="Arial"/>
        <color rgb="FF000000"/>
        <sz val="8.0"/>
      </rPr>
      <t xml:space="preserve"> </t>
    </r>
    <r>
      <rPr>
        <rFont val="Arial"/>
        <color rgb="FF000000"/>
      </rPr>
      <t xml:space="preserve">
</t>
    </r>
    <r>
      <rPr>
        <rFont val="Arial"/>
        <b/>
        <color rgb="FFCC0000"/>
      </rPr>
      <t>Step 2)</t>
    </r>
    <r>
      <rPr>
        <rFont val="Arial"/>
        <b/>
        <color rgb="FF000000"/>
      </rPr>
      <t xml:space="preserve"> </t>
    </r>
    <r>
      <rPr>
        <rFont val="Arial"/>
        <color rgb="FF000000"/>
      </rPr>
      <t xml:space="preserve">강의 영상은 클립별로 저장 부탁드리며,  저장명은 </t>
    </r>
    <r>
      <rPr>
        <rFont val="Arial"/>
        <b/>
        <color rgb="FFFF0000"/>
      </rPr>
      <t>빨간색 부분</t>
    </r>
    <r>
      <rPr>
        <rFont val="Arial"/>
        <color rgb="FF000000"/>
      </rPr>
      <t xml:space="preserve">을 복사하여 저장 부탁드립니다.
</t>
    </r>
    <r>
      <rPr>
        <rFont val="Arial"/>
        <b/>
        <color rgb="FFFF9900"/>
      </rPr>
      <t>Step 3)</t>
    </r>
    <r>
      <rPr>
        <rFont val="Arial"/>
        <color rgb="FF000000"/>
      </rPr>
      <t xml:space="preserve"> 촬영 후 </t>
    </r>
    <r>
      <rPr>
        <rFont val="Arial"/>
        <b/>
        <color rgb="FFFF9900"/>
      </rPr>
      <t>주황색 부분</t>
    </r>
    <r>
      <rPr>
        <rFont val="Arial"/>
        <color rgb="FF000000"/>
      </rPr>
      <t xml:space="preserve">을 꼭 체크 부탁 드립니다.
             &gt; 실제 촬영 시간은 대략적으로 적어주시면 됩니다.
             &gt; 기입 이유는 수강생에게 제공될 강의 총 양을 미리 확인하기 위함입니다.
             &gt; </t>
    </r>
    <r>
      <rPr>
        <rFont val="Arial"/>
        <color rgb="FFFF0000"/>
      </rPr>
      <t xml:space="preserve">커리큘럼이 수정되는 경우 꼭 </t>
    </r>
    <r>
      <rPr>
        <rFont val="Arial"/>
        <b/>
        <color rgb="FFFF0000"/>
      </rPr>
      <t>O열</t>
    </r>
    <r>
      <rPr>
        <rFont val="Arial"/>
        <color rgb="FFFF0000"/>
      </rPr>
      <t xml:space="preserve"> 메모에 기입을 부탁드립니다. (상세페이지 수정 및 교육 안내서 수정에 필요)</t>
    </r>
  </si>
  <si>
    <r>
      <rPr>
        <rFont val="Arial"/>
        <color rgb="FF000000"/>
      </rPr>
      <t>파트 &gt; 챕터 &gt; 클립 구분</t>
    </r>
    <r>
      <rPr>
        <rFont val="Arial"/>
        <color rgb="FF000000"/>
      </rPr>
      <t xml:space="preserve"> (링크를 클릭하시면 샘플 이미지를 확인하실 수 있습니다.)</t>
    </r>
  </si>
  <si>
    <t>바이브코딩 입문자를 위한 필수 조합 : 
구글 안티그래비티 × 클로드코드 15개 실전 프로젝트</t>
  </si>
  <si>
    <r>
      <rPr>
        <color rgb="FF000000"/>
      </rPr>
      <t xml:space="preserve">링크에 연결 된 </t>
    </r>
    <r>
      <rPr>
        <color rgb="FF1155CC"/>
        <u/>
      </rPr>
      <t>드라이브</t>
    </r>
    <r>
      <rPr>
        <color rgb="FF000000"/>
      </rPr>
      <t>에 넣어주세요</t>
    </r>
  </si>
  <si>
    <t>계약서 링크</t>
  </si>
  <si>
    <t>권오서 강사님</t>
  </si>
  <si>
    <t>촬영 예정일</t>
  </si>
  <si>
    <r>
      <rPr>
        <rFont val="Arial"/>
        <b/>
        <color rgb="FFFFFFFF"/>
        <sz val="11.0"/>
      </rPr>
      <t xml:space="preserve">강사님 저장용 클립명 </t>
    </r>
    <r>
      <rPr>
        <rFont val="Arial"/>
        <b val="0"/>
        <color rgb="FFFFFFFF"/>
        <sz val="11.0"/>
      </rPr>
      <t>(자동 완성 / 수정 금지)</t>
    </r>
  </si>
  <si>
    <t>Part 1</t>
  </si>
  <si>
    <t>바이브코딩의 기초</t>
  </si>
  <si>
    <t>바이브코딩</t>
  </si>
  <si>
    <t>바이브코딩의 개념</t>
  </si>
  <si>
    <t>현재 바이브코딩 흐름</t>
  </si>
  <si>
    <t>바이브코딩 필수 마인드</t>
  </si>
  <si>
    <t>Antigravity와 Claude Code</t>
  </si>
  <si>
    <t>필수 용어 이해하기</t>
  </si>
  <si>
    <t>Frontend와 Backend</t>
  </si>
  <si>
    <t>API와 MCP</t>
  </si>
  <si>
    <t>git과 github</t>
  </si>
  <si>
    <t>기술 스택 요약</t>
  </si>
  <si>
    <t>Part 2</t>
  </si>
  <si>
    <t>실전 도구 익히기</t>
  </si>
  <si>
    <t>Antigravity</t>
  </si>
  <si>
    <t>Antigravity 인터페이스 이해하기</t>
  </si>
  <si>
    <t>에이전트 매니저 이해하기</t>
  </si>
  <si>
    <t>커스텀 룰 세팅하기</t>
  </si>
  <si>
    <t>커스텀 룰 세팅하기1,2영상으로 나누어져있습니다. 기존 1영상 마지막에서는 다음 영상에서 안티그래비티의 스킬을 사용하는 법을 안내하는 것으로 멘트를 마무리했는데, 그러기 위해선 클로드코드 설치 및 세팅을 먼저 진행해야할 것 같아 커리큘럼을 수정했습니다. 커스텀 룰 세팅하기2 영상의 마지막 멘트를  커스텀 룰 세팅하기1 영상과 연결시켜주시면 감사하겠습니다.</t>
  </si>
  <si>
    <t>Claude code</t>
  </si>
  <si>
    <t>Claude code 설치 및 세팅</t>
  </si>
  <si>
    <t>Antigravity와 함께 사용할 때 중요한 점</t>
  </si>
  <si>
    <t>Antigravity&amp;Claude code Skill 사용법</t>
  </si>
  <si>
    <t>Part 3</t>
  </si>
  <si>
    <t>기획</t>
  </si>
  <si>
    <t>기획의 중요성</t>
  </si>
  <si>
    <t>바이브코딩에서 기획이란</t>
  </si>
  <si>
    <t>기획서의 기본</t>
  </si>
  <si>
    <t>Gemini로 아이디어 발굴하기</t>
  </si>
  <si>
    <t>Gemini로 기획서 작성하기</t>
  </si>
  <si>
    <t>Part 4</t>
  </si>
  <si>
    <t>유틸리티 서비스</t>
  </si>
  <si>
    <t>멀티 링크 프로필 페이지</t>
  </si>
  <si>
    <t>PRD 작성 및 로직 구현하기</t>
  </si>
  <si>
    <t>올인원 계산기</t>
  </si>
  <si>
    <t>PRD 작성하기</t>
  </si>
  <si>
    <t>계산기 구현하기</t>
  </si>
  <si>
    <t>테스트 및 점검하기</t>
  </si>
  <si>
    <t>집중 시간 트래커 캘린더</t>
  </si>
  <si>
    <t>집중 시간 트래커 캘린더 구현하기</t>
  </si>
  <si>
    <t>Part 5</t>
  </si>
  <si>
    <t>업무 자동화 도구</t>
  </si>
  <si>
    <t>쇼핑몰 리뷰 크롤링 자동화 봇</t>
  </si>
  <si>
    <t>로직 구현 및 쿠팡 페이지 테스트하기</t>
  </si>
  <si>
    <t>네이버 페이지 테스트하기</t>
  </si>
  <si>
    <t>뉴스 수집 자동화 봇</t>
  </si>
  <si>
    <t>프론트엔드와 백엔드 나눠서 개발하기</t>
  </si>
  <si>
    <t>33분 20초까지 잘라서  02-02로 넣어주시고, 그 이후는 02-03. api 키 설정하기로 넣어주시면 감사하겠습니다.</t>
  </si>
  <si>
    <t>api 키 설정하기</t>
  </si>
  <si>
    <t>실전 테스트 및 점검하기</t>
  </si>
  <si>
    <t>미팅로그 에이전트</t>
  </si>
  <si>
    <t>로직 구현하기 및 음성인식 테스트하기</t>
  </si>
  <si>
    <t>디자인 변경하기</t>
  </si>
  <si>
    <t>음성 인식 및 문서 자동 저장 테스트하기</t>
  </si>
  <si>
    <t>주식 기록 자동화</t>
  </si>
  <si>
    <t>github 설정 및 로직 구현하기</t>
  </si>
  <si>
    <t>로직 구현하기1 이후에 영상이 잘렸습니다. 구현하기1 이후 구현하기2를 붙여주시면 감사하겠습니다.</t>
  </si>
  <si>
    <t>데이터 시각화 대시보드</t>
  </si>
  <si>
    <t>20분 12초~30분까지 잘라주시면 감사하겠습니다.</t>
  </si>
  <si>
    <t>로직 구현 하기</t>
  </si>
  <si>
    <t>Part 6</t>
  </si>
  <si>
    <t>인터랙티브 웹</t>
  </si>
  <si>
    <t>디자인의 중요성</t>
  </si>
  <si>
    <t>바이브코딩으로 만든 디자인이 ai 티가 나는 이유</t>
  </si>
  <si>
    <t>ai스러움을 방지하는 방법</t>
  </si>
  <si>
    <t>AI studio란</t>
  </si>
  <si>
    <t>AI studio 설명</t>
  </si>
  <si>
    <t>레퍼런스 찾는 법</t>
  </si>
  <si>
    <t>레퍼런스 적용하는 법</t>
  </si>
  <si>
    <t>AI studio+Antigravity 활용하기</t>
  </si>
  <si>
    <t>3D/마우스 반응형 웹사이트</t>
  </si>
  <si>
    <t>Spline 사용 방법</t>
  </si>
  <si>
    <t>gemini로 디자인 방향 잡기</t>
  </si>
  <si>
    <t>ai studio로 디자인하기</t>
  </si>
  <si>
    <t>Antigravity로 옮겨 수정하기</t>
  </si>
  <si>
    <t>인터랙티브 스크롤 웹사이트</t>
  </si>
  <si>
    <t>gemini로 이미지 + 영상 뽑기</t>
  </si>
  <si>
    <t>Antigravity에서 수정하기</t>
  </si>
  <si>
    <t>1:12:08 ~ 1:21:40까지 제거해주시면 감사하겠습니다.</t>
  </si>
  <si>
    <t>이벤트 신청 랜딩페이지</t>
  </si>
  <si>
    <t>Antigravity에서 구체화하기</t>
  </si>
  <si>
    <t>Part 7</t>
  </si>
  <si>
    <t>재미&amp;게임</t>
  </si>
  <si>
    <t>직장인 심리 테스트 게임</t>
  </si>
  <si>
    <t>veo3.1로 영상 뽑기</t>
  </si>
  <si>
    <t>로직 구현하기</t>
  </si>
  <si>
    <t>테스트하고 점검하기</t>
  </si>
  <si>
    <t>나만의 캐릭터 챗봇</t>
  </si>
  <si>
    <t>나노바나나로 이미지 뽑기</t>
  </si>
  <si>
    <t>Part 8</t>
  </si>
  <si>
    <t>데이터베이스</t>
  </si>
  <si>
    <t>정보 저장하기</t>
  </si>
  <si>
    <t>데이터베이스란?</t>
  </si>
  <si>
    <t>Supabase란?</t>
  </si>
  <si>
    <t>프로젝트와 연결하기</t>
  </si>
  <si>
    <t>supabase mcp로 프로젝트와 연결하기</t>
  </si>
  <si>
    <t>로그인/회원가입 페이지 만들기</t>
  </si>
  <si>
    <t>Part 9</t>
  </si>
  <si>
    <t>배포</t>
  </si>
  <si>
    <t>세상 밖으로 출시하기</t>
  </si>
  <si>
    <t>서비스 배포란?</t>
  </si>
  <si>
    <t>Vercel이란?</t>
  </si>
  <si>
    <t>랜딩페이지 프로젝트 배포해보기</t>
  </si>
  <si>
    <t>Part 10</t>
  </si>
  <si>
    <t>CRM 서비스</t>
  </si>
  <si>
    <t>기본 설정</t>
  </si>
  <si>
    <t>CRM이란?</t>
  </si>
  <si>
    <t>Resend란?</t>
  </si>
  <si>
    <t>8분 54초~9분 55초 제거
10분 1초~10분 8초 제거
10분 56초~12분 27초 제거 
12분 58초~17분 24초 제거
17분 28초~18분 47초 제거
19분 44초~20분29초 제거
20분 41초~23분 18초 제거
23분 21초~23분 30초 제거
24분 3초 ~25분 33초 제거
29분 18초~ 38분 49초 제거 
44분 22초~45분 39초 제거
45분 56초 ~ 46분 19초 제거
47분 47초~ 53분 52초 제거
54분 50초~ 55분 8초 제거 
56분 13초 ~ 56분 50초 제거
56분 55초~ 57분 14초 제거
57분 17초~ 1시간 17초 제거
1시간 1분 6초~1시간 2분 17초 제거
1시간 2분 38초 ~1시간 5분 28초 제거
1시간 5분 32초~1시간 6분 37초 제거
1시간 6분 42초~1시간 37분 13초 제거
1시간 37분 24초~1시간 38분 46초 제거
1시간 38분 53초~1시간 39분 4초 제거
1시간 39분 9초~1시간 40분 35초 제거
1시간 40분 47초~1시간 41분 8초 제거
1시간 41분 15초~1시간 41분 30초 제거</t>
  </si>
  <si>
    <t>테스트하고 배포하기</t>
  </si>
  <si>
    <t>테스트하고 배포하기1과 2를 연결해주세요. 아래 시간은 두 영상을 연결했을 때 기준입니다.
4분 2초~6분 9초 제거
6분 34초~18분 50초 제거
18분 57초~19분 32초 제거
19분 52초~26분 58초 제거
30분 12초~54분 8초 제거
57분 32초~58분 48초 제거
59분 57초~1시간 51초 제거
1시간 1분 5초~1시간 1분 28초 제거
1시간 1분 32초~1시간 1분 49초 제거
1시간 1분 52초~1시간 2분 1초 제거
1시간 2분 17초~1시간 2분 43초 제거
1시간 3분 7초~1시간 3분 43초 제거
1시간 5분 59초~1시간 13분 58초 제거
1시간 14분 1초~1시간 14분 27초 제거
1시간 14분 37초~1시간 16분 15초 제거
1시간 18분 6초~1시간 20분 59초 제거
1시간 22분 32초~1시간 22분 56초 제거
1시간 23분 ~ 1시간 23분 7초 제거</t>
  </si>
  <si>
    <t>Part 11</t>
  </si>
  <si>
    <t>지식 상품 판매 사이트 만들기</t>
  </si>
  <si>
    <t>디자인</t>
  </si>
  <si>
    <t>prd 작성하기</t>
  </si>
  <si>
    <t>프론트엔드와 백엔드 개발하기</t>
  </si>
  <si>
    <t>6분 43초~6분 49초 제거
6분 54초~7분 26초 제거
7분 31초~7분 43초 제거
7분 51초~8분 3초 제거
8분 56초~9분 2초 제거
9분 31초~9분 37초 제거
10분 21초~10분 31초 제거
10분 36초~10분 39초 제거
11분 6초~12분 14초 제거
12분 22초~13분 2초 제거
13분 14초~15분 59초 제거
16분 4초~16분 19초 제거
16분 26초~17분 제거
17분 6초~17분 8초 제거
17분 31초~17분 37초 제거
17분 40초~17분 49초 제거
17분 55초~18분 41초 제거
19분 7초~25분 18초 제거
25분 58초~28분 1초 제거
28분 11초~30분 9초 제거
30분 13초~30분 30초 제거
30분 34초~30분 43초 제거
30분 47초~31분 54초 제거
32분 14초~32분 23초 제거
32분 26초~32분 37초 제거
32분 43초~37분 30초 제거
37분 47초~37분 51초 제거
37분 55초~37분 58초 제거
38분 1초~38분 14초 제거
38분 21초~39분 18초 제거
39분 23초~39분 32초 제거
39분 31초~40분 21초 제거
40분 24초~40분 55초 제거
41분 2초~43분 28초 제거
43분 32초~44분 35초 제거
44분 38초~44분 43초 제거
44분 51초~45분 54초 제거
46분 19초~46분 31초 제거
46분 34초~46분 39초 제거
46분 37초~47분 33초 제거
47분 36초~47분 44초 제거
47분 48초~47분 52초 제거
48분 19초~48분 45초 제거
48분 51초~48분 55초 제거
49분 15초~50분 12초 제거
50분 18초~50분 33초 제거
50분 38초~50분 56초 제거
51분 4초~54분 56초 제거
55분~55분 28초 제거
55분 36초~55분 39초 제거
55분 41초~57분 21초 제거
57분 23초~58분 3초 제거
58분 5초~58분 12초 제거
58분 17초~끝까지 제거</t>
  </si>
  <si>
    <t>프론트엔드 테스트 및 점검하기</t>
  </si>
  <si>
    <t>25초~46초 제거
1분 2초~3분 18초 제거
3분 24초~3분 30초 제거
3분 43초~3분 48초 제거
3분 55초~6분 34초 제거
6분 39초~6분 45초 제거
6분 49초~7분 1초 제거
7분 7초~8분 56초 제거
10분 3초~10분 7초 제거
10분 17초~16분 47초 제거
16분 59초~18분 제거
19분 6초~19분 16초 제거
19분 57초~20분 34초 제거
20분 44초~21분 28초 제거
21분 31초~21분 38초 제거
21분 43초~22분 1초 제거
22분 10초~22분 43초 제거
23분 1초~23분 8초 제거
23분 15초~23분 37초 제거
23분 49초~24분 19초 제거
24분 27초~24분 29초 제거
24분 48초~25분 41초 제거
25분 48초~26분 7초 제거
26분 11초~26분 15초 제거
26분 18초~끝까지 제거</t>
  </si>
  <si>
    <t>백엔드 테스트 및 점검하기</t>
  </si>
  <si>
    <t>22초~1분 4초
1분 14초~9분 1초
9분 7초~9분 12초
9분 23초~9분 32초
9분 39초~13분 6초
13분 11초~13분 51초
13분 59초~14분 24초
14분 31초~16분 13초
16분 33초~16분 55초
16분 58초~17분 10초
17분 23초~17분 30초
17분 36초~18분 6초
18분 12초~18분 16초
18분 26초~18분 56초
19분 8초~20분 58초
21분 20초~21분 33초
21분 40초~21분 47초
21분 52초~21분 54초
22분 3초~22분 27초
22분 30초~22분36초
22분 40초~24분 37초
24분 39초~24분 44초
24분 53초~25분 14초
25분 32초~25분 51초
27분 48초~27분 56초
27분 59초~28분 43초
28분 48초~28분 51초
28분 55초~29분
29분 3초~29분 5초
29분 7초~29분 18초
29분 20초~29분 33초
29분 41초~35분 5초
35분 11초~35분 27초
35분 28초~35분 32초
36분 3초~36분 17초
36분 24초~36분 49초
37분~42분 34초
43분 3초~43분 39초
43분 43초~43분 53초
43분 59초~끝까지</t>
  </si>
  <si>
    <t>소셜 로그인 연동하기</t>
  </si>
  <si>
    <t>43초~1분 6초
1분 21초~1분 30초
1분 37초~1분 53초
1분 57초~2분 2초
2분 8초~2분 17초
2분 20초~2분 57초
3분 40초~4분 51초
4분 56초~5분 29초
5분 32초~5분 42초
5분 50초~6분
6분 14초~8분11초
8분 37초~8분 52초
8분 58초~9분 4초
9분 9초~9분 29초
9분 41초~10분 10초
10분 45초~11분 9초
11분 24초~11분 39초
11분 50초~12분 4초
12분 40초~12분 55초
13분 15초~13분 22초
13분 50초~15분 32초
15분 47초~18분 19초
18분 30초~19분 52초
19분 55초~20분 4초
20분 15초~20분 31초
21분 1초~21분 7초
21분 18초~22분 5초
22분 31초~23분 55초
24분 7초~24분 58초
25분 46초~26분 1초
26분 42초~27분 26초
27분 34초~27분 51초
28분 8초~28분 16초
28분 20초~28분 31초
28분 37초~28분 57초
29분 2초~29분 43초
29분 55초~32분 14초
32분 19초~32분 39초
32분 41초~32분 53초
32분 59초~33분 21초
33분 51초~33분 58초
34분 13초~34분 21초
34분 29초~34분 33초
34분 40초~34분 45초
34분 52초~ 끝까지</t>
  </si>
  <si>
    <t>관리자 대시보드 점검하기</t>
  </si>
  <si>
    <t>결제 및 배포</t>
  </si>
  <si>
    <t>결제 연결 및 테스트하기</t>
  </si>
  <si>
    <t>결제 이메일 연결 및 테스트하기</t>
  </si>
  <si>
    <t>강사님 박수치신 구간은 편집점 잡아주시지 않으셔도 됩니다 ㅠㅠ</t>
  </si>
  <si>
    <t>배포 및 최종 점검</t>
  </si>
  <si>
    <t>현재 편집 일정이 넉넉치 않은 상태라, 너무 많은 요청사항이 반영되기가 어려운 상황입니다. 
- 강의에 들어가서는 안되는 내용들만(개인정보 노출 등) 기재 부탁 드립니다.
- 말을 더듬거나 박수치고 다시 말한 것들 등의 기본적인 편집 포인트들은 말씀 주시지 않으셔도 자동으로 편집에 반영됩니다.</t>
  </si>
  <si>
    <t>Part 12</t>
  </si>
  <si>
    <t>운영하기</t>
  </si>
  <si>
    <t>나만의 주소 만들기</t>
  </si>
  <si>
    <t>Gabia에서 도메인 구입하기</t>
  </si>
  <si>
    <t>내 프로젝트와 연결하기</t>
  </si>
  <si>
    <t>도메인 설정 후 변경 사항 수정하기</t>
  </si>
  <si>
    <t>인터넷에 등록하기</t>
  </si>
  <si>
    <t>seo란?</t>
  </si>
  <si>
    <t>ai에게 seo 자동화 시키기</t>
  </si>
  <si>
    <t>내 사이트 등록하기</t>
  </si>
  <si>
    <t>데이터 분석하기</t>
  </si>
  <si>
    <t>ga4란?</t>
  </si>
  <si>
    <t>ga4를 내 대시보드에 연동하기</t>
  </si>
  <si>
    <t>에러 및 보안 설정하기</t>
  </si>
  <si>
    <t>Sentry를 이용해 에러 확인 자동화하기</t>
  </si>
  <si>
    <r>
      <rPr>
        <rFont val="Arial"/>
        <b/>
        <color rgb="FF1155CC"/>
      </rPr>
      <t>Step 1)</t>
    </r>
    <r>
      <rPr>
        <rFont val="Arial"/>
        <color rgb="FF000000"/>
      </rPr>
      <t xml:space="preserve"> 강의 촬영 시작 전 </t>
    </r>
    <r>
      <rPr>
        <rFont val="Arial"/>
        <b/>
        <color rgb="FF1155CC"/>
      </rPr>
      <t>파란색 부분</t>
    </r>
    <r>
      <rPr>
        <rFont val="Arial"/>
        <color rgb="FF000000"/>
      </rPr>
      <t xml:space="preserve">의 커리큘럼을 미리 완성 부탁드립니다.
</t>
    </r>
    <r>
      <rPr>
        <rFont val="Arial"/>
        <color rgb="FF000000"/>
        <sz val="8.0"/>
      </rPr>
      <t xml:space="preserve"> </t>
    </r>
    <r>
      <rPr>
        <rFont val="Arial"/>
        <color rgb="FF000000"/>
      </rPr>
      <t xml:space="preserve">
</t>
    </r>
    <r>
      <rPr>
        <rFont val="Arial"/>
        <b/>
        <color rgb="FFCC0000"/>
      </rPr>
      <t>Step 2)</t>
    </r>
    <r>
      <rPr>
        <rFont val="Arial"/>
        <b/>
        <color rgb="FF000000"/>
      </rPr>
      <t xml:space="preserve"> </t>
    </r>
    <r>
      <rPr>
        <rFont val="Arial"/>
        <color rgb="FF000000"/>
      </rPr>
      <t xml:space="preserve">강의 영상은 클립별로 저장 부탁드리며,  저장명은 </t>
    </r>
    <r>
      <rPr>
        <rFont val="Arial"/>
        <b/>
        <color rgb="FFFF0000"/>
      </rPr>
      <t>빨간색 부분</t>
    </r>
    <r>
      <rPr>
        <rFont val="Arial"/>
        <color rgb="FF000000"/>
      </rPr>
      <t xml:space="preserve">을 복사하여 저장 부탁드립니다.
</t>
    </r>
    <r>
      <rPr>
        <rFont val="Arial"/>
        <b/>
        <color rgb="FFFF9900"/>
      </rPr>
      <t>Step 3)</t>
    </r>
    <r>
      <rPr>
        <rFont val="Arial"/>
        <color rgb="FF000000"/>
      </rPr>
      <t xml:space="preserve"> 촬영 후 </t>
    </r>
    <r>
      <rPr>
        <rFont val="Arial"/>
        <b/>
        <color rgb="FFFF9900"/>
      </rPr>
      <t>주황색 부분</t>
    </r>
    <r>
      <rPr>
        <rFont val="Arial"/>
        <color rgb="FF000000"/>
      </rPr>
      <t xml:space="preserve">을 꼭 체크 부탁 드립니다.
             &gt; 실제 촬영 시간은 대략적으로 적어주시면 됩니다.
             &gt; 기입 이유는 수강생에게 제공될 강의 총 양을 미리 확인하기 위함입니다.
             &gt; </t>
    </r>
    <r>
      <rPr>
        <rFont val="Arial"/>
        <color rgb="FFFF0000"/>
      </rPr>
      <t xml:space="preserve">커리큘럼이 수정되는 경우 꼭 </t>
    </r>
    <r>
      <rPr>
        <rFont val="Arial"/>
        <b/>
        <color rgb="FFFF0000"/>
      </rPr>
      <t>O열</t>
    </r>
    <r>
      <rPr>
        <rFont val="Arial"/>
        <color rgb="FFFF0000"/>
      </rPr>
      <t xml:space="preserve"> 메모에 기입을 부탁드립니다. (상세페이지 수정 및 교육 안내서 수정에 필요)</t>
    </r>
  </si>
  <si>
    <r>
      <rPr>
        <color rgb="FF1155CC"/>
        <u/>
      </rPr>
      <t>파트 &gt; 챕터 &gt; 클립 구분</t>
    </r>
    <r>
      <rPr>
        <color rgb="FF000000"/>
        <u/>
      </rPr>
      <t xml:space="preserve"> (링크를 클릭하시면 샘플 이미지를 확인하실 수 있습니다.)</t>
    </r>
  </si>
  <si>
    <t>세계 3등에게 배우는 13개 데이터 분석 프로젝트</t>
  </si>
  <si>
    <r>
      <rPr>
        <color rgb="FF000000"/>
      </rPr>
      <t xml:space="preserve">링크에 연결 된 </t>
    </r>
    <r>
      <rPr>
        <color rgb="FF1155CC"/>
      </rPr>
      <t>드라이브</t>
    </r>
    <r>
      <rPr>
        <color rgb="FF000000"/>
      </rPr>
      <t>에 넣어주세요</t>
    </r>
  </si>
  <si>
    <r>
      <rPr>
        <rFont val="Arial"/>
        <b/>
        <color rgb="FF000000"/>
      </rPr>
      <t>전서연 강사님</t>
    </r>
    <r>
      <rPr>
        <rFont val="Arial"/>
        <b/>
        <color rgb="FF000000"/>
        <sz val="8.0"/>
      </rPr>
      <t xml:space="preserve"> (전서연 강사님 파트만 배열) </t>
    </r>
  </si>
  <si>
    <t>강사님 확인</t>
  </si>
  <si>
    <t>▼ Step 1 - 커리큘럼 작성 ▼</t>
  </si>
  <si>
    <t>챕터 명</t>
  </si>
  <si>
    <t>편집접수
체크</t>
  </si>
  <si>
    <r>
      <rPr>
        <rFont val="Arial"/>
        <b/>
        <color rgb="FFFFFFFF"/>
        <sz val="11.0"/>
      </rPr>
      <t xml:space="preserve">강사님 저장용 클립명 </t>
    </r>
    <r>
      <rPr>
        <rFont val="Arial"/>
        <b val="0"/>
        <color rgb="FFFFFFFF"/>
        <sz val="11.0"/>
      </rPr>
      <t>(자동 완성 / 수정 금지)</t>
    </r>
  </si>
  <si>
    <t>데이터 시각화와 시각적 분석</t>
  </si>
  <si>
    <t xml:space="preserve"> </t>
  </si>
  <si>
    <t>Chapter01</t>
  </si>
  <si>
    <t>강사 소개 및 인사</t>
  </si>
  <si>
    <t>데이터 시각화 강사소개 및 커리큘럼</t>
  </si>
  <si>
    <t>(드롭박스 Chapter 06 폴더에 업로드 완료) 이전 강의 처럼 제가 편집점 잡고 하는게 더 편해서 직접 편집했는데 퀄리티에 이상 있는지 체크 부탁드리겠습니다!</t>
  </si>
  <si>
    <t>Chapter02</t>
  </si>
  <si>
    <t>Orientation</t>
  </si>
  <si>
    <t>Introduction</t>
  </si>
  <si>
    <t>Chapter03</t>
  </si>
  <si>
    <t>데이터 시각화로 설득하는 단계별 방법</t>
  </si>
  <si>
    <t>Actionable Data Visualization</t>
  </si>
  <si>
    <t>실무에서 필수로 쓰이는 데이터 시각화의 종류 예시</t>
  </si>
  <si>
    <t>이 클립부터 비디오 비트레이트 30000, 무손실에 가까운 품질로 출력했습니다.</t>
  </si>
  <si>
    <t xml:space="preserve">Marketing,Product, Growth 데이터 시각화 활용 사례 </t>
  </si>
  <si>
    <t xml:space="preserve">데이터 시각화에서 인사이트를 도출하는 flow </t>
  </si>
  <si>
    <t xml:space="preserve">(12/08) 7,8,9 클립은 다른 파일보다 소리가 작아 다시 최종본 편집 후 구글드라이브에 최종본 업로드했습니다! / 이 클립부터 프리미어 파일에 제 전용 오디오 프리셋 적용, 29.97 프레임으로 출력했습니다. 이전보다 더 마이크에서 떨어져서 촬영한 대신 프리미어에서 오디오 게인 15-20 정도 올렸습니다. </t>
  </si>
  <si>
    <t>데이터 분석가 실무 커뮤니케이션 프로세스</t>
  </si>
  <si>
    <t>(12/08) 7,8,9 클립은 다른 파일보다 소리가 작아 다시 최종본 편집 후 구글드라이브에 최종본 업로드했습니다!</t>
  </si>
  <si>
    <t>좋은 유저 경험을 디자인하는 차트를 만드는 방법</t>
  </si>
  <si>
    <t>Part 07</t>
  </si>
  <si>
    <t>Business Intelligence</t>
  </si>
  <si>
    <t>다양한 BI 툴 소개 및 Tableau 를 활용하는 이유</t>
  </si>
  <si>
    <t>(12/08) 1 클립 소리 작아 다시 최종본 편집 후 구글드라이브에 업로드했습니다!</t>
  </si>
  <si>
    <t>(추가) Tableau Public 버전 사용자 데이터 연결 시 공지사항</t>
  </si>
  <si>
    <t>새롭게 추가된 영상입니다!</t>
  </si>
  <si>
    <t>Tableau 인터페이스 1. 다운로드, 데이터 연결, 인터페이스 (데이터 원본 창까지)</t>
  </si>
  <si>
    <t>원래 이 밑에 클립까지 하나였는데, 길이가 35 분이 넘어가서 2개 클립으로 잘랐습니다. 그래서 프리미어 콜렉트 파일은 1개입니다!</t>
  </si>
  <si>
    <t>Tableau 인터페이스 2. 인터페이스 (워크시트 화면), 베이직 차트 실습</t>
  </si>
  <si>
    <t>Tableau 는 무엇인가 : 3가지 핵심 개념으로 마무리 (차원 측정값, 연속 불연속, VLOD와 집계방식)</t>
  </si>
  <si>
    <t>여기서부터 해상도 기본 3840*2160 / 출력 3840*2160 으로 변경. (화질 개선됨) 기존 해상도가 기본 3840*2160 에 출력 1920*1080 이었는데 그것 때문에 이전 화질이 많이 안좋았던 것 같습니다.</t>
  </si>
  <si>
    <t>본격적으로 분석하기 전, 데이터 시각화로 데이터 탐색하기</t>
  </si>
  <si>
    <t>데이터 관계 / 유니온 / 변형 : 분석하기 좋은 데이터셋 구성하기</t>
  </si>
  <si>
    <t>08</t>
  </si>
  <si>
    <t>매출 데이터 KPI 시각화 실습  (객단가, 건단가, 구매건수, 구매수량, 총매출 등)</t>
  </si>
  <si>
    <t>Part 08</t>
  </si>
  <si>
    <t xml:space="preserve">실무 유형별 데이터 시각화 실습 케이스 스터디 </t>
  </si>
  <si>
    <t>매출 / 유저 데이터 KPI 시각화 실습  (객단가, 건단가, MAU, DAU, ARPU 등)</t>
  </si>
  <si>
    <t xml:space="preserve">태블로 실무 계산  1) 기본 계산 : 분석에 필요한 데이터 컬럼을 생성하는 방법  </t>
  </si>
  <si>
    <t xml:space="preserve">태블로 실무 계산  2) 테이블 계산 : 시각화에서 지표를 비교하고 평가하기 위한 방법 </t>
  </si>
  <si>
    <t xml:space="preserve">태블로 실무 계산  3) LOD 계산 : 실무에서 원하는 수준으로 데이터를 고정해서 계산하는 방법 </t>
  </si>
  <si>
    <t xml:space="preserve">태블로 실무 계산  4) Order of Operations : 태블로의 쿼리 파이프라인과 작업 순서 이해하기 </t>
  </si>
  <si>
    <t>드릴다운 분석을 위한 시각화 : 전체를 구성하는 개별 요소 분석</t>
  </si>
  <si>
    <t xml:space="preserve">상관관계와 분포를 보기 위한 시각화 : 개별 레코드 수준 분석 </t>
  </si>
  <si>
    <t>비교를 위한 시각화 : 전 주 대비 비교 KPI 분석</t>
  </si>
  <si>
    <t>시계열 분석 / 예측을 위한 시각화 : Date 와 Time 데이터에 대한 이해, 시계열 예측 시각화</t>
  </si>
  <si>
    <t>Part 09</t>
  </si>
  <si>
    <t>대시보드 실무에 활용하기</t>
  </si>
  <si>
    <t xml:space="preserve">비즈니스 대시보드 설계 프레임워크 (요구사항 수집, 기획, 우선순위 설정, 구현, 디자인) </t>
  </si>
  <si>
    <t>의사결정을 위해 설득력 있는 데이터 스토리텔링 하는 방법 (C-level 의 주요 지표, 보고서 프레임워크)</t>
  </si>
  <si>
    <t>인터랙티브한 탐색을 위한 대시보드 Action (Filter, Highlight)</t>
  </si>
  <si>
    <t xml:space="preserve">팀원들에게 시각화 리포트 공유하기 (서버 업로드, 파일 공유 활용법, 공동 작업 방법) </t>
  </si>
  <si>
    <t xml:space="preserve">데이터 커리어 / 취업에 포트폴리오를 활용하는 방법  </t>
  </si>
  <si>
    <t>7:25 부분 (프리미어 파일에 마크 표시된 부분) 에 노이즈가 들어가있는데 이 부분 어떻게 처리해야 할지 모르겠어서 일단 표시만 해두었습니다! 듣기에 심각한지 확인해주시면 감사하겠습니다.</t>
  </si>
  <si>
    <t>실전 비즈니스 시나리오 실습 - 지표 설계 및 Actionable Dashboard 기초</t>
  </si>
  <si>
    <t>Chapter 01</t>
  </si>
  <si>
    <t>실전 비즈니스 시나리오 실습 - 1. KPI 대시보드</t>
  </si>
  <si>
    <t>1. KPI 대시보드 - 대시보드 기획</t>
  </si>
  <si>
    <t>1. KPI 대시보드 - 대시보드 제작 1. KPI 카드</t>
  </si>
  <si>
    <t>09</t>
  </si>
  <si>
    <t>1. KPI 대시보드 - 대시보드 제작 2. Donut Chart &amp; Scatter Plot &amp; Bar Chart</t>
  </si>
  <si>
    <t>10</t>
  </si>
  <si>
    <t>1. KPI 대시보드 - 대시보드 제작 3. Action</t>
  </si>
  <si>
    <t>11</t>
  </si>
  <si>
    <t>1. KPI 대시보드 - 대시보드 활용 시나리오</t>
  </si>
  <si>
    <t>Chapter 02</t>
  </si>
  <si>
    <t>실전 비즈니스 시나리오 실습 - 2. Metric hierarchy 대시보드</t>
  </si>
  <si>
    <t>2. Metric Hierarchy - 대시보드 기획</t>
  </si>
  <si>
    <r>
      <rPr/>
      <t xml:space="preserve">해당 클립에 오타가 있어 촬영본 변경했으니 이 </t>
    </r>
    <r>
      <rPr>
        <color rgb="FF1155CC"/>
        <u/>
      </rPr>
      <t>파일</t>
    </r>
    <r>
      <rPr/>
      <t>로 업로드 부탁드립니다! (</t>
    </r>
    <r>
      <rPr>
        <color rgb="FF1155CC"/>
        <u/>
      </rPr>
      <t>프리미어</t>
    </r>
    <r>
      <rPr/>
      <t>)</t>
    </r>
  </si>
  <si>
    <t>2. Metric Hierarchy - 대시보드 그리기</t>
  </si>
  <si>
    <t>Chapter 03</t>
  </si>
  <si>
    <t>실전 비즈니스 시나리오 실습 - 3. AARRR 대시보드</t>
  </si>
  <si>
    <t>3. AARRR 대시보드 - 대시보드 기획</t>
  </si>
  <si>
    <t>3. AARRR 대시보드 - 대시보드 제작</t>
  </si>
  <si>
    <t>실전 비즈니스 시나리오 실습 - 퍼포먼스마케팅 데이터 분석</t>
  </si>
  <si>
    <t>실전 비즈니스 시나리오 실습 - 1. 광고 효율 대시보드</t>
  </si>
  <si>
    <t>1. 광고 효율 대시보드 - 대시보드 기획</t>
  </si>
  <si>
    <t>1. 광고 효율 대시보드 - 대시보드 제작 1. KPI 카드</t>
  </si>
  <si>
    <t>1. 광고 효율 대시보드 - 대시보드 제작 2. Funnel &amp; Table</t>
  </si>
  <si>
    <t>1. 광고 효율 대시보드 - 대시보드 제작 3. Action</t>
  </si>
  <si>
    <t>실전 비즈니스 시나리오 실습 - 비즈니스 데이터 분석</t>
  </si>
  <si>
    <t>실전 비즈니스 시나리오 실습 - 1.프로모션 분석 대시보드</t>
  </si>
  <si>
    <t>1.프로모션 분석 대시보드 - 대시보드 기획</t>
  </si>
  <si>
    <t>1.프로모션 분석 대시보드 - 대시보드 제작 1. KPI &amp; Coupon</t>
  </si>
  <si>
    <t>1.프로모션 분석 대시보드 - 대시보드 제작 2. Drill-down &amp; User</t>
  </si>
  <si>
    <t>1.프로모션 분석 대시보드 - 대시보드 제작 3. Action</t>
  </si>
  <si>
    <t>1.프로모션 분석 대시보드 - 대시보드 활용 시나리오</t>
  </si>
  <si>
    <t>해당 클립부터 프리미어에서 1920*1080 으로 내보내도록 하겠습니다. 해상도 낮춤으로 인한 화질 저하 체크 부탁드리겠습니다.</t>
  </si>
  <si>
    <t>실전 비즈니스 시나리오 실습 - 2. 유저 로그 데이터 (커머스)</t>
  </si>
  <si>
    <t>2. 유저 로그 데이터 (커머스) - 대시보드 기획</t>
  </si>
  <si>
    <t>2. 유저 로그 데이터 (커머스) - 대시보드 제작 1.차트 제작</t>
  </si>
  <si>
    <t>2. 유저 로그 데이터 (커머스) - 대시보드 제작 2. Action</t>
  </si>
  <si>
    <t>2. 유저 로그 데이터 (커머스) - 대시보드 활용</t>
  </si>
  <si>
    <t>실전 비즈니스 시나리오 실습 - 3. 유저 로그 데이터 (게임)</t>
  </si>
  <si>
    <t>3. 유저 로그 데이터 (게임) - 대시보드 기획</t>
  </si>
  <si>
    <t>3. 유저 로그 데이터 (게임) - 대시보드 제작 1.Setup Moment</t>
  </si>
  <si>
    <t>3. 유저 로그 데이터 (게임) - 대시보드 제작 2.Retention &amp; Purchase</t>
  </si>
  <si>
    <t>Chapter 04</t>
  </si>
  <si>
    <t>실전 비즈니스 시나리오 실습 - 4. 유저 로그 데이터 (SNS)</t>
  </si>
  <si>
    <t>4. 유저 로그 데이터 (SNS) - 대시보드 기획</t>
  </si>
  <si>
    <t>4. 유저 로그 데이터 (SNS) - 대시보드 그리기</t>
  </si>
  <si>
    <t>Chapter 05</t>
  </si>
  <si>
    <t>실전 비즈니스 시나리오 실습 - 5. 퍼널 분석</t>
  </si>
  <si>
    <t>5. 퍼널 분석- 대시보드 기획</t>
  </si>
  <si>
    <t>5. 퍼널 분석- 대시보드 제작 1. Users &amp; CVR</t>
  </si>
  <si>
    <t>5. 퍼널 분석- 대시보드 제작 2. StepCVR &amp; CustomCVR</t>
  </si>
  <si>
    <t>Chapter 06</t>
  </si>
  <si>
    <t>실전 비즈니스 시나리오 실습 - 6. 지역별 구매 패턴 분석</t>
  </si>
  <si>
    <t>6. 지역별 구매 패턴 분석 - 대시보드 기획</t>
  </si>
  <si>
    <t>6. 지역별 구매 패턴 분석 - 대시보드 그리기</t>
  </si>
  <si>
    <t>Chapter 07</t>
  </si>
  <si>
    <t xml:space="preserve">실전 비즈니스 시나리오 실습 - 7. EDA (탐색적 데이터 분석)  </t>
  </si>
  <si>
    <t>7. EDA (탐색적 데이터 분석) - 대시보드 기획</t>
  </si>
  <si>
    <t>7. EDA (탐색적 데이터 분석) - 대시보드 제작 1.시트 설명</t>
  </si>
  <si>
    <r>
      <rPr>
        <rFont val="Arial"/>
        <color theme="1"/>
      </rPr>
      <t xml:space="preserve">삭제 편집 요청 구간
1.  07:35-08:05 ('어디에 활용되는 거냐면' - '바벨차트에서' 로 바로 연결)
2. 09:16- 09:21 ('여기서는 이 숫자가 중요한게 아니라' 삭제)
3. 09:39 - 09:47 ('이건 나중에~만들어놓고' 삭제)
4. 09:59-10:02 ('버튼을 만드는 방법은 특이합니다' 삭제)
5. 13:41-13:42 ('리전이 총 동서남북' 삭제 &gt; '리전이 총 4개기 때문에' 만 남기기)
</t>
    </r>
    <r>
      <rPr>
        <rFont val="Arial"/>
        <b/>
        <color theme="1"/>
      </rPr>
      <t>6. 15:52-18:40 (공백 모두 삭제)</t>
    </r>
    <r>
      <rPr>
        <rFont val="Arial"/>
        <color theme="1"/>
      </rPr>
      <t xml:space="preserve">
7.  18:53- 18:58 ('아까랑 동일하게- 넣고' 삭제)
8. 19:41-20:56 ('이게 지금 선택된 버튼인지' 부터 - 이후 공백 다 삭제)
9. 22:11-23:25 ('그다음에 x축도? 부터 이후 공백까지 다 삭제)
10. 24:34-24:37 ('Profit Growth 를 선택할 경우에는~때문에 까지 삭제)
11. 24:50- 25:22 ('거기에 대한 성장률 지표를 ~ 이후 공백 다 삭제)
12. 26:26-26:31 ('이렇게 해당 서브카테고리~때문에' 삭제) 
13. 28:43-30:29 ('그다음에 이제 필터~달러단위로 표시를해놨습니다' 삭제) 
14. 30:57-31:03 ('여기 밑에 구분하는 걸 써주면 좋았겠지만'~ '포기를 한 상태이구요' 삭제)
15. 32:42-33:51 (공백 + '이거를 아까 만들었던' 까지 삭제)
16. 37:40-37:52 ('이걸 보여주기 위해서' 부터 이후 공백 삭제)
</t>
    </r>
    <r>
      <rPr>
        <rFont val="Arial"/>
        <b/>
        <color theme="1"/>
      </rPr>
      <t>17. 38:45-39:11 (공백 삭제)</t>
    </r>
    <r>
      <rPr>
        <rFont val="Arial"/>
        <color theme="1"/>
      </rPr>
      <t xml:space="preserve">
18. 39:47-39:55 삭제
19. 40:39-40:49 삭제
20. 42:22-42:30 삭제
21. 42:55-43:16 삭제
22. 43:55-44:49 삭제
23. 44:51-45:41 삭제
24. 50:40-50:44 삭제</t>
    </r>
  </si>
  <si>
    <t>7. EDA (탐색적 데이터 분석) - 대시보드 제작 2. Action</t>
  </si>
  <si>
    <t>삭제 편집 요청 구간
1. 00:12-00:15 삭제
2. 01:38-01:48 삭제
3. 01:52-01:53 삭제
4. 02:10-02:12 삭제</t>
  </si>
  <si>
    <t>7. EDA (탐색적 데이터 분석) - 대시보드 활용 시나리오</t>
  </si>
  <si>
    <t>Part 13</t>
  </si>
  <si>
    <t>실전 비즈니스 시나리오 실습 - CRM 데이터 분석</t>
  </si>
  <si>
    <t>실전 비즈니스 시나리오 실습 - 1. CRM 캠페인 성과 분석</t>
  </si>
  <si>
    <t>1. CRM 푸시,플친 성과 분석 - 대시보드 기획</t>
  </si>
  <si>
    <t>1. CRM 푸시,플친 성과 분석 - 대시보드 제작</t>
  </si>
  <si>
    <t>실전 비즈니스 시나리오 실습 - 2. 유저 세그멘테이션_RFM 분석</t>
  </si>
  <si>
    <t>2. 유저 세그멘테이션_RFM 분석 - 대시보드 기획</t>
  </si>
  <si>
    <t>2. 유저 세그멘테이션_RFM 분석 - 대시보드 그리기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</si>
</sst>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#"/>
    <numFmt numFmtId="165" formatCode="mm/dd"/>
    <numFmt numFmtId="166" formatCode="&quot; &quot;m&quot;/ &quot;d&quot; (&quot;ddd&quot;)&quot;"/>
    <numFmt numFmtId="167" formatCode="m/d"/>
    <numFmt numFmtId="168" formatCode="yyyy. mm. dd"/>
    <numFmt numFmtId="169" formatCode="&quot; &quot;m&quot;/&quot;d&quot;(&quot;ddd&quot;)&quot;"/>
  </numFmts>
  <fonts count="5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rgb="FF222222"/>
      <name val="Arial"/>
      <scheme val="minor"/>
    </font>
    <font>
      <color theme="1"/>
      <name val="Arial"/>
      <scheme val="minor"/>
    </font>
    <font>
      <color rgb="FF222222"/>
      <name val="Arial"/>
      <scheme val="minor"/>
    </font>
    <font>
      <color rgb="FF000000"/>
      <name val="&quot;맑은 고딕&quot;"/>
    </font>
    <font>
      <color rgb="FF000000"/>
      <name val="Arial"/>
    </font>
    <font>
      <b/>
      <color rgb="FF000000"/>
      <name val="Arial"/>
    </font>
    <font>
      <b/>
      <color rgb="FF000000"/>
      <name val="&quot;맑은 고딕&quot;"/>
    </font>
    <font>
      <color theme="1"/>
      <name val="Arial"/>
    </font>
    <font>
      <b/>
      <color theme="1"/>
      <name val="Arial"/>
    </font>
    <font>
      <sz val="20.0"/>
      <color theme="1"/>
      <name val="Impact"/>
    </font>
    <font/>
    <font>
      <b/>
      <color rgb="FF0000FF"/>
      <name val="Arial"/>
    </font>
    <font>
      <b/>
      <color rgb="FFFF0000"/>
      <name val="Arial"/>
    </font>
    <font>
      <color rgb="FF000000"/>
      <name val="Arial"/>
      <scheme val="minor"/>
    </font>
    <font>
      <b/>
      <sz val="12.0"/>
      <color theme="1"/>
      <name val="Arial"/>
      <scheme val="minor"/>
    </font>
    <font>
      <u/>
      <color rgb="FF1155CC"/>
    </font>
    <font>
      <b/>
      <i/>
      <u/>
      <color rgb="FF9900FF"/>
      <name val="Arial"/>
      <scheme val="minor"/>
    </font>
    <font>
      <b/>
      <color rgb="FF000000"/>
      <name val="Arial"/>
      <scheme val="minor"/>
    </font>
    <font>
      <b/>
      <i/>
      <u/>
      <color rgb="FF9900FF"/>
      <name val="Arial"/>
      <scheme val="minor"/>
    </font>
    <font>
      <b/>
      <i/>
      <color rgb="FF9900FF"/>
      <name val="Arial"/>
      <scheme val="minor"/>
    </font>
    <font>
      <sz val="12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Arial"/>
    </font>
    <font>
      <b/>
      <sz val="10.0"/>
      <color rgb="FFFFFFFF"/>
      <name val="Arial"/>
      <scheme val="minor"/>
    </font>
    <font>
      <b/>
      <color rgb="FFFFFFFF"/>
      <name val="Arial"/>
    </font>
    <font>
      <b/>
      <sz val="11.0"/>
      <color rgb="FFFFFFFF"/>
      <name val="Arial"/>
      <scheme val="minor"/>
    </font>
    <font>
      <b/>
      <sz val="10.0"/>
      <color rgb="FF000000"/>
      <name val="Arial"/>
      <scheme val="minor"/>
    </font>
    <font>
      <color rgb="FF980000"/>
      <name val="Arial"/>
    </font>
    <font>
      <b/>
      <i/>
      <u/>
      <color rgb="FF351C75"/>
      <name val="Arial"/>
    </font>
    <font>
      <b/>
      <i/>
      <u/>
      <color rgb="FFA64D79"/>
      <name val="Arial"/>
    </font>
    <font>
      <b/>
      <i/>
      <u/>
      <color rgb="FFA64D79"/>
      <name val="Arial"/>
    </font>
    <font>
      <b/>
      <i/>
      <u/>
      <color rgb="FF351C75"/>
      <name val="Arial"/>
    </font>
    <font>
      <color rgb="FF000000"/>
    </font>
    <font>
      <b/>
      <i/>
      <u/>
      <color rgb="FF9900FF"/>
      <name val="Arial"/>
      <scheme val="minor"/>
    </font>
    <font>
      <b/>
      <sz val="10.0"/>
      <color theme="1"/>
      <name val="Arial"/>
    </font>
    <font>
      <b/>
      <sz val="10.0"/>
      <color rgb="FF222222"/>
      <name val="Arial"/>
    </font>
    <font>
      <sz val="10.0"/>
      <color theme="1"/>
      <name val="Arial"/>
    </font>
    <font>
      <color rgb="FF980000"/>
      <name val="Arial"/>
      <scheme val="minor"/>
    </font>
    <font>
      <sz val="10.0"/>
      <color rgb="FF980000"/>
      <name val="Arial"/>
    </font>
    <font>
      <sz val="10.0"/>
      <color rgb="FF980000"/>
      <name val="Arial"/>
      <scheme val="minor"/>
    </font>
    <font>
      <sz val="10.0"/>
      <color theme="1"/>
      <name val="Arial"/>
      <scheme val="minor"/>
    </font>
    <font>
      <b/>
      <i/>
      <u/>
      <color rgb="FF351C75"/>
      <name val="Arial"/>
      <scheme val="minor"/>
    </font>
    <font>
      <color rgb="FFFF0000"/>
      <name val="Arial"/>
    </font>
    <font>
      <color rgb="FFFF0000"/>
      <name val="Arial"/>
      <scheme val="minor"/>
    </font>
    <font>
      <b/>
      <i/>
      <u/>
      <color rgb="FF351C75"/>
      <name val="Arial"/>
      <scheme val="minor"/>
    </font>
    <font>
      <b/>
      <i/>
      <u/>
      <color rgb="FF351C75"/>
      <name val="Arial"/>
      <scheme val="minor"/>
    </font>
    <font>
      <color rgb="FF0000FF"/>
      <name val="Arial"/>
      <scheme val="minor"/>
    </font>
    <font>
      <color rgb="FF1155CC"/>
    </font>
    <font>
      <b/>
      <color rgb="FF222222"/>
      <name val="Arial"/>
    </font>
    <font>
      <b/>
      <i/>
      <u/>
      <color rgb="FF351C75"/>
      <name val="Arial"/>
    </font>
    <font>
      <color rgb="FF222222"/>
      <name val="Arial"/>
    </font>
    <font>
      <b/>
      <i/>
      <u/>
      <color rgb="FF351C75"/>
      <name val="Arial"/>
    </font>
    <font>
      <u/>
      <color rgb="FF0000FF"/>
    </font>
  </fonts>
  <fills count="2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</fills>
  <borders count="4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dotted">
        <color rgb="FFD9D9D9"/>
      </bottom>
    </border>
    <border>
      <bottom style="dotted">
        <color rgb="FFD9D9D9"/>
      </bottom>
    </border>
    <border>
      <right style="thin">
        <color rgb="FF000000"/>
      </right>
      <bottom style="dotted">
        <color rgb="FFD9D9D9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666666"/>
      </lef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right style="thin">
        <color rgb="FF000000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left style="thin">
        <color rgb="FF666666"/>
      </left>
    </border>
    <border>
      <left style="thin">
        <color rgb="FF434343"/>
      </left>
      <right style="thin">
        <color rgb="FF000000"/>
      </right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666666"/>
      </right>
      <bottom style="thin">
        <color rgb="FF000000"/>
      </bottom>
    </border>
    <border>
      <left style="thin">
        <color rgb="FF666666"/>
      </left>
      <right style="thin">
        <color rgb="FF666666"/>
      </right>
    </border>
    <border>
      <right style="thin">
        <color rgb="FF666666"/>
      </right>
      <top style="thin">
        <color rgb="FF666666"/>
      </top>
    </border>
    <border>
      <right style="thin">
        <color rgb="FF666666"/>
      </right>
    </border>
    <border>
      <bottom style="thin">
        <color rgb="FF666666"/>
      </bottom>
    </border>
  </borders>
  <cellStyleXfs count="1">
    <xf borderId="0" fillId="0" fontId="0" numFmtId="0" applyAlignment="1" applyFont="1"/>
  </cellStyleXfs>
  <cellXfs count="3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 shrinkToFit="0" vertical="top" wrapText="1"/>
    </xf>
    <xf borderId="0" fillId="4" fontId="2" numFmtId="0" xfId="0" applyAlignment="1" applyFill="1" applyFont="1">
      <alignment horizontal="center" readingOrder="0" vertical="top"/>
    </xf>
    <xf borderId="0" fillId="5" fontId="2" numFmtId="0" xfId="0" applyAlignment="1" applyFill="1" applyFont="1">
      <alignment horizontal="center" readingOrder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1"/>
    </xf>
    <xf borderId="1" fillId="6" fontId="1" numFmtId="49" xfId="0" applyAlignment="1" applyBorder="1" applyFill="1" applyFont="1" applyNumberFormat="1">
      <alignment horizontal="center" readingOrder="0" shrinkToFit="0" vertical="center" wrapText="0"/>
    </xf>
    <xf borderId="1" fillId="6" fontId="3" numFmtId="0" xfId="0" applyAlignment="1" applyBorder="1" applyFont="1">
      <alignment readingOrder="0" shrinkToFit="0" vertical="center" wrapText="0"/>
    </xf>
    <xf borderId="1" fillId="6" fontId="3" numFmtId="0" xfId="0" applyAlignment="1" applyBorder="1" applyFont="1">
      <alignment readingOrder="0" shrinkToFit="0" vertical="top" wrapText="0"/>
    </xf>
    <xf borderId="2" fillId="0" fontId="4" numFmtId="49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wrapText="0"/>
    </xf>
    <xf borderId="1" fillId="0" fontId="6" numFmtId="0" xfId="0" applyAlignment="1" applyBorder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3" fillId="0" fontId="4" numFmtId="49" xfId="0" applyAlignment="1" applyBorder="1" applyFont="1" applyNumberFormat="1">
      <alignment horizontal="center" readingOrder="0" shrinkToFit="0" vertical="center" wrapText="0"/>
    </xf>
    <xf borderId="0" fillId="6" fontId="4" numFmtId="0" xfId="0" applyAlignment="1" applyFont="1">
      <alignment readingOrder="0" shrinkToFit="0" vertical="top" wrapText="1"/>
    </xf>
    <xf borderId="3" fillId="6" fontId="1" numFmtId="49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shrinkToFit="0" vertical="top" wrapText="1"/>
    </xf>
    <xf borderId="1" fillId="7" fontId="6" numFmtId="0" xfId="0" applyAlignment="1" applyBorder="1" applyFill="1" applyFont="1">
      <alignment horizontal="left" readingOrder="0" shrinkToFit="0" vertical="top" wrapText="0"/>
    </xf>
    <xf borderId="1" fillId="0" fontId="7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horizontal="left" readingOrder="0" shrinkToFit="0" vertical="top" wrapText="0"/>
    </xf>
    <xf quotePrefix="1" borderId="1" fillId="0" fontId="7" numFmtId="0" xfId="0" applyAlignment="1" applyBorder="1" applyFont="1">
      <alignment horizontal="left" readingOrder="0" shrinkToFit="0" vertical="top" wrapText="0"/>
    </xf>
    <xf borderId="1" fillId="0" fontId="7" numFmtId="0" xfId="0" applyAlignment="1" applyBorder="1" applyFont="1">
      <alignment horizontal="left" readingOrder="0" shrinkToFit="0" vertical="top" wrapText="0"/>
    </xf>
    <xf borderId="0" fillId="0" fontId="4" numFmtId="0" xfId="0" applyAlignment="1" applyFont="1">
      <alignment readingOrder="0" vertical="top"/>
    </xf>
    <xf borderId="1" fillId="8" fontId="9" numFmtId="0" xfId="0" applyAlignment="1" applyBorder="1" applyFill="1" applyFont="1">
      <alignment horizontal="left" readingOrder="0" shrinkToFit="0" vertical="top" wrapText="0"/>
    </xf>
    <xf borderId="0" fillId="0" fontId="4" numFmtId="0" xfId="0" applyAlignment="1" applyFont="1">
      <alignment vertical="top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readingOrder="0" vertical="center"/>
    </xf>
    <xf borderId="0" fillId="9" fontId="11" numFmtId="0" xfId="0" applyAlignment="1" applyFill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7" fontId="11" numFmtId="0" xfId="0" applyAlignment="1" applyFont="1">
      <alignment horizontal="left" readingOrder="0" vertical="center"/>
    </xf>
    <xf borderId="0" fillId="0" fontId="12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vertical="bottom"/>
    </xf>
    <xf borderId="4" fillId="0" fontId="10" numFmtId="0" xfId="0" applyAlignment="1" applyBorder="1" applyFont="1">
      <alignment vertical="bottom"/>
    </xf>
    <xf borderId="5" fillId="10" fontId="11" numFmtId="0" xfId="0" applyAlignment="1" applyBorder="1" applyFill="1" applyFont="1">
      <alignment horizontal="center" vertical="bottom"/>
    </xf>
    <xf borderId="4" fillId="0" fontId="13" numFmtId="0" xfId="0" applyBorder="1" applyFont="1"/>
    <xf borderId="6" fillId="0" fontId="13" numFmtId="0" xfId="0" applyBorder="1" applyFont="1"/>
    <xf borderId="6" fillId="10" fontId="11" numFmtId="0" xfId="0" applyAlignment="1" applyBorder="1" applyFont="1">
      <alignment horizontal="center" vertical="bottom"/>
    </xf>
    <xf borderId="6" fillId="10" fontId="14" numFmtId="0" xfId="0" applyAlignment="1" applyBorder="1" applyFont="1">
      <alignment horizontal="center" vertical="bottom"/>
    </xf>
    <xf borderId="6" fillId="10" fontId="15" numFmtId="0" xfId="0" applyAlignment="1" applyBorder="1" applyFont="1">
      <alignment horizontal="center" vertical="bottom"/>
    </xf>
    <xf borderId="7" fillId="0" fontId="10" numFmtId="0" xfId="0" applyAlignment="1" applyBorder="1" applyFont="1">
      <alignment vertical="bottom"/>
    </xf>
    <xf borderId="8" fillId="0" fontId="10" numFmtId="0" xfId="0" applyAlignment="1" applyBorder="1" applyFont="1">
      <alignment readingOrder="0" vertical="bottom"/>
    </xf>
    <xf borderId="9" fillId="0" fontId="13" numFmtId="0" xfId="0" applyBorder="1" applyFont="1"/>
    <xf borderId="6" fillId="0" fontId="10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readingOrder="0" vertical="bottom"/>
    </xf>
    <xf borderId="10" fillId="9" fontId="11" numFmtId="0" xfId="0" applyAlignment="1" applyBorder="1" applyFont="1">
      <alignment horizontal="center" readingOrder="0" vertical="bottom"/>
    </xf>
    <xf borderId="10" fillId="0" fontId="15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0" fillId="0" fontId="10" numFmtId="0" xfId="0" applyAlignment="1" applyBorder="1" applyFont="1">
      <alignment horizontal="center" readingOrder="0" vertical="bottom"/>
    </xf>
    <xf borderId="10" fillId="0" fontId="13" numFmtId="0" xfId="0" applyBorder="1" applyFont="1"/>
    <xf borderId="5" fillId="0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5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horizontal="center" readingOrder="0" vertical="center"/>
    </xf>
    <xf borderId="10" fillId="7" fontId="11" numFmtId="0" xfId="0" applyAlignment="1" applyBorder="1" applyFont="1">
      <alignment horizontal="center" readingOrder="0" vertical="center"/>
    </xf>
    <xf borderId="10" fillId="7" fontId="11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1" fillId="0" fontId="11" numFmtId="0" xfId="0" applyAlignment="1" applyBorder="1" applyFont="1">
      <alignment horizontal="center" readingOrder="0" vertical="center"/>
    </xf>
    <xf borderId="11" fillId="0" fontId="15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12" fillId="0" fontId="13" numFmtId="0" xfId="0" applyBorder="1" applyFont="1"/>
    <xf borderId="13" fillId="0" fontId="10" numFmtId="0" xfId="0" applyAlignment="1" applyBorder="1" applyFont="1">
      <alignment horizontal="center" readingOrder="0" vertical="center"/>
    </xf>
    <xf borderId="13" fillId="0" fontId="13" numFmtId="0" xfId="0" applyBorder="1" applyFont="1"/>
    <xf borderId="14" fillId="0" fontId="10" numFmtId="0" xfId="0" applyAlignment="1" applyBorder="1" applyFont="1">
      <alignment vertical="center"/>
    </xf>
    <xf borderId="0" fillId="0" fontId="10" numFmtId="0" xfId="0" applyAlignment="1" applyFont="1">
      <alignment readingOrder="0" vertical="center"/>
    </xf>
    <xf borderId="7" fillId="0" fontId="13" numFmtId="0" xfId="0" applyBorder="1" applyFont="1"/>
    <xf borderId="8" fillId="0" fontId="13" numFmtId="0" xfId="0" applyBorder="1" applyFont="1"/>
    <xf borderId="10" fillId="7" fontId="11" numFmtId="0" xfId="0" applyAlignment="1" applyBorder="1" applyFont="1">
      <alignment horizontal="center" readingOrder="0" shrinkToFit="0" vertical="bottom" wrapText="0"/>
    </xf>
    <xf borderId="10" fillId="0" fontId="11" numFmtId="0" xfId="0" applyAlignment="1" applyBorder="1" applyFont="1">
      <alignment horizontal="center" readingOrder="0" shrinkToFit="0" vertical="bottom" wrapText="0"/>
    </xf>
    <xf borderId="6" fillId="0" fontId="10" numFmtId="0" xfId="0" applyAlignment="1" applyBorder="1" applyFont="1">
      <alignment horizontal="center" vertical="bottom"/>
    </xf>
    <xf borderId="8" fillId="0" fontId="15" numFmtId="0" xfId="0" applyAlignment="1" applyBorder="1" applyFont="1">
      <alignment readingOrder="0" vertical="bottom"/>
    </xf>
    <xf borderId="0" fillId="0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15" fillId="11" fontId="16" numFmtId="164" xfId="0" applyAlignment="1" applyBorder="1" applyFill="1" applyFont="1" applyNumberFormat="1">
      <alignment horizontal="center" readingOrder="0" shrinkToFit="0" vertical="center" wrapText="0"/>
    </xf>
    <xf borderId="16" fillId="0" fontId="13" numFmtId="0" xfId="0" applyBorder="1" applyFont="1"/>
    <xf borderId="17" fillId="0" fontId="13" numFmtId="0" xfId="0" applyBorder="1" applyFont="1"/>
    <xf borderId="0" fillId="0" fontId="10" numFmtId="164" xfId="0" applyAlignment="1" applyFont="1" applyNumberFormat="1">
      <alignment vertical="bottom"/>
    </xf>
    <xf borderId="18" fillId="2" fontId="16" numFmtId="164" xfId="0" applyAlignment="1" applyBorder="1" applyFont="1" applyNumberFormat="1">
      <alignment horizontal="center" readingOrder="0" shrinkToFit="0" vertical="center" wrapText="0"/>
    </xf>
    <xf borderId="1" fillId="0" fontId="18" numFmtId="0" xfId="0" applyAlignment="1" applyBorder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1" fillId="11" fontId="4" numFmtId="0" xfId="0" applyAlignment="1" applyBorder="1" applyFont="1">
      <alignment horizontal="center" readingOrder="0" shrinkToFit="0" vertical="center" wrapText="0"/>
    </xf>
    <xf borderId="18" fillId="0" fontId="1" numFmtId="0" xfId="0" applyAlignment="1" applyBorder="1" applyFont="1">
      <alignment horizontal="left" readingOrder="0" shrinkToFit="0" vertical="center" wrapText="0"/>
    </xf>
    <xf borderId="19" fillId="0" fontId="13" numFmtId="0" xfId="0" applyBorder="1" applyFont="1"/>
    <xf borderId="20" fillId="0" fontId="13" numFmtId="0" xfId="0" applyBorder="1" applyFont="1"/>
    <xf borderId="0" fillId="0" fontId="16" numFmtId="3" xfId="0" applyAlignment="1" applyFont="1" applyNumberFormat="1">
      <alignment horizontal="center" readingOrder="0" shrinkToFit="0" vertical="center" wrapText="0"/>
    </xf>
    <xf borderId="1" fillId="12" fontId="20" numFmtId="0" xfId="0" applyAlignment="1" applyBorder="1" applyFill="1" applyFont="1">
      <alignment horizontal="center" readingOrder="0" shrinkToFit="0" vertical="center" wrapText="0"/>
    </xf>
    <xf borderId="18" fillId="9" fontId="8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0" fillId="6" fontId="8" numFmtId="0" xfId="0" applyAlignment="1" applyFont="1">
      <alignment horizontal="left" readingOrder="0" vertical="center"/>
    </xf>
    <xf borderId="21" fillId="0" fontId="13" numFmtId="0" xfId="0" applyBorder="1" applyFont="1"/>
    <xf borderId="22" fillId="0" fontId="13" numFmtId="0" xfId="0" applyBorder="1" applyFont="1"/>
    <xf borderId="5" fillId="2" fontId="16" numFmtId="164" xfId="0" applyAlignment="1" applyBorder="1" applyFont="1" applyNumberFormat="1">
      <alignment horizontal="center" readingOrder="0" shrinkToFit="0" vertical="center" wrapText="0"/>
    </xf>
    <xf borderId="1" fillId="0" fontId="16" numFmtId="0" xfId="0" applyAlignment="1" applyBorder="1" applyFont="1">
      <alignment readingOrder="0" shrinkToFit="0" vertical="center" wrapText="0"/>
    </xf>
    <xf borderId="11" fillId="11" fontId="4" numFmtId="0" xfId="0" applyAlignment="1" applyBorder="1" applyFont="1">
      <alignment horizontal="center" readingOrder="0" shrinkToFit="0" vertical="center" wrapText="0"/>
    </xf>
    <xf borderId="18" fillId="0" fontId="4" numFmtId="0" xfId="0" applyAlignment="1" applyBorder="1" applyFont="1">
      <alignment horizontal="left" readingOrder="0" shrinkToFit="0" vertical="center" wrapText="0"/>
    </xf>
    <xf borderId="18" fillId="9" fontId="20" numFmtId="0" xfId="0" applyAlignment="1" applyBorder="1" applyFont="1">
      <alignment horizontal="left" readingOrder="0" shrinkToFit="0" vertical="center" wrapText="0"/>
    </xf>
    <xf borderId="0" fillId="13" fontId="20" numFmtId="0" xfId="0" applyAlignment="1" applyFill="1" applyFont="1">
      <alignment horizontal="center" readingOrder="0" shrinkToFit="0" vertical="center" wrapText="0"/>
    </xf>
    <xf borderId="0" fillId="13" fontId="20" numFmtId="0" xfId="0" applyAlignment="1" applyFont="1">
      <alignment readingOrder="0" shrinkToFit="0" vertical="center" wrapText="0"/>
    </xf>
    <xf borderId="23" fillId="0" fontId="13" numFmtId="0" xfId="0" applyBorder="1" applyFont="1"/>
    <xf borderId="24" fillId="0" fontId="13" numFmtId="0" xfId="0" applyBorder="1" applyFont="1"/>
    <xf borderId="25" fillId="0" fontId="13" numFmtId="0" xfId="0" applyBorder="1" applyFont="1"/>
    <xf borderId="5" fillId="2" fontId="16" numFmtId="49" xfId="0" applyAlignment="1" applyBorder="1" applyFont="1" applyNumberFormat="1">
      <alignment horizontal="center" readingOrder="0" shrinkToFit="0" vertical="center" wrapText="0"/>
    </xf>
    <xf borderId="1" fillId="0" fontId="16" numFmtId="21" xfId="0" applyAlignment="1" applyBorder="1" applyFont="1" applyNumberFormat="1">
      <alignment horizontal="left" readingOrder="0" shrinkToFit="0" vertical="center" wrapText="0"/>
    </xf>
    <xf borderId="26" fillId="11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1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vertical="bottom"/>
    </xf>
    <xf borderId="0" fillId="0" fontId="22" numFmtId="21" xfId="0" applyAlignment="1" applyFont="1" applyNumberFormat="1">
      <alignment horizontal="center" readingOrder="0" shrinkToFit="0" vertical="center" wrapText="0"/>
    </xf>
    <xf borderId="27" fillId="0" fontId="22" numFmtId="21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14" fontId="23" numFmtId="164" xfId="0" applyAlignment="1" applyFill="1" applyFont="1" applyNumberFormat="1">
      <alignment horizontal="center" readingOrder="0" shrinkToFit="0" vertical="center" wrapText="0"/>
    </xf>
    <xf borderId="4" fillId="15" fontId="24" numFmtId="164" xfId="0" applyAlignment="1" applyBorder="1" applyFill="1" applyFont="1" applyNumberFormat="1">
      <alignment horizontal="center"/>
    </xf>
    <xf borderId="0" fillId="16" fontId="25" numFmtId="164" xfId="0" applyAlignment="1" applyFill="1" applyFont="1" applyNumberFormat="1">
      <alignment horizontal="center"/>
    </xf>
    <xf borderId="0" fillId="17" fontId="23" numFmtId="0" xfId="0" applyAlignment="1" applyFill="1" applyFont="1">
      <alignment horizontal="center" readingOrder="0" shrinkToFit="0" vertical="center" wrapText="0"/>
    </xf>
    <xf borderId="0" fillId="10" fontId="16" numFmtId="164" xfId="0" applyAlignment="1" applyFont="1" applyNumberFormat="1">
      <alignment horizontal="center" readingOrder="0" shrinkToFit="0" vertical="center" wrapText="0"/>
    </xf>
    <xf borderId="0" fillId="10" fontId="23" numFmtId="164" xfId="0" applyAlignment="1" applyFont="1" applyNumberForma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28" fillId="12" fontId="0" numFmtId="0" xfId="0" applyAlignment="1" applyBorder="1" applyFont="1">
      <alignment horizontal="center" readingOrder="0" shrinkToFit="0" vertical="center" wrapText="0"/>
    </xf>
    <xf borderId="29" fillId="12" fontId="26" numFmtId="0" xfId="0" applyAlignment="1" applyBorder="1" applyFont="1">
      <alignment horizontal="center" readingOrder="0" shrinkToFit="0" vertical="center" wrapText="0"/>
    </xf>
    <xf borderId="29" fillId="18" fontId="26" numFmtId="164" xfId="0" applyAlignment="1" applyBorder="1" applyFill="1" applyFont="1" applyNumberFormat="1">
      <alignment horizontal="center" readingOrder="0" shrinkToFit="0" vertical="center" wrapText="0"/>
    </xf>
    <xf borderId="29" fillId="18" fontId="26" numFmtId="0" xfId="0" applyAlignment="1" applyBorder="1" applyFont="1">
      <alignment horizontal="center" readingOrder="0" shrinkToFit="0" vertical="center" wrapText="0"/>
    </xf>
    <xf borderId="29" fillId="19" fontId="26" numFmtId="49" xfId="0" applyAlignment="1" applyBorder="1" applyFill="1" applyFont="1" applyNumberFormat="1">
      <alignment horizontal="center" readingOrder="0" shrinkToFit="0" vertical="center" wrapText="0"/>
    </xf>
    <xf borderId="29" fillId="19" fontId="26" numFmtId="0" xfId="0" applyAlignment="1" applyBorder="1" applyFont="1">
      <alignment horizontal="center" readingOrder="0" shrinkToFit="0" vertical="center" wrapText="0"/>
    </xf>
    <xf borderId="0" fillId="18" fontId="26" numFmtId="0" xfId="0" applyAlignment="1" applyFont="1">
      <alignment horizontal="center" readingOrder="0" shrinkToFit="0" vertical="center" wrapText="0"/>
    </xf>
    <xf borderId="13" fillId="20" fontId="27" numFmtId="0" xfId="0" applyAlignment="1" applyBorder="1" applyFill="1" applyFont="1">
      <alignment horizontal="center" vertical="bottom"/>
    </xf>
    <xf borderId="0" fillId="21" fontId="27" numFmtId="0" xfId="0" applyAlignment="1" applyFill="1" applyFont="1">
      <alignment horizontal="center" vertical="bottom"/>
    </xf>
    <xf borderId="21" fillId="22" fontId="28" numFmtId="0" xfId="0" applyAlignment="1" applyBorder="1" applyFill="1" applyFont="1">
      <alignment horizontal="center" readingOrder="0" shrinkToFit="0" vertical="center" wrapText="0"/>
    </xf>
    <xf borderId="1" fillId="23" fontId="29" numFmtId="0" xfId="0" applyAlignment="1" applyBorder="1" applyFill="1" applyFont="1">
      <alignment horizontal="center" readingOrder="0" shrinkToFit="0" vertical="center" wrapText="0"/>
    </xf>
    <xf borderId="30" fillId="23" fontId="29" numFmtId="0" xfId="0" applyAlignment="1" applyBorder="1" applyFont="1">
      <alignment horizontal="center" readingOrder="0" shrinkToFit="0" vertical="center" wrapText="0"/>
    </xf>
    <xf borderId="28" fillId="23" fontId="2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31" fillId="24" fontId="10" numFmtId="49" xfId="0" applyAlignment="1" applyBorder="1" applyFill="1" applyFont="1" applyNumberFormat="1">
      <alignment vertical="bottom"/>
    </xf>
    <xf borderId="32" fillId="6" fontId="11" numFmtId="49" xfId="0" applyAlignment="1" applyBorder="1" applyFont="1" applyNumberFormat="1">
      <alignment horizontal="center" readingOrder="0" shrinkToFit="0" vertical="bottom" wrapText="0"/>
    </xf>
    <xf borderId="31" fillId="24" fontId="10" numFmtId="49" xfId="0" applyAlignment="1" applyBorder="1" applyFont="1" applyNumberFormat="1">
      <alignment horizontal="center" vertical="bottom"/>
    </xf>
    <xf borderId="26" fillId="6" fontId="11" numFmtId="49" xfId="0" applyAlignment="1" applyBorder="1" applyFont="1" applyNumberFormat="1">
      <alignment horizontal="center" readingOrder="0" shrinkToFit="0" vertical="bottom" wrapText="0"/>
    </xf>
    <xf borderId="1" fillId="24" fontId="10" numFmtId="0" xfId="0" applyAlignment="1" applyBorder="1" applyFont="1">
      <alignment vertical="bottom"/>
    </xf>
    <xf borderId="33" fillId="24" fontId="10" numFmtId="0" xfId="0" applyAlignment="1" applyBorder="1" applyFont="1">
      <alignment horizontal="center" vertical="bottom"/>
    </xf>
    <xf borderId="34" fillId="24" fontId="10" numFmtId="0" xfId="0" applyAlignment="1" applyBorder="1" applyFont="1">
      <alignment vertical="bottom"/>
    </xf>
    <xf borderId="35" fillId="24" fontId="10" numFmtId="0" xfId="0" applyAlignment="1" applyBorder="1" applyFont="1">
      <alignment vertical="bottom"/>
    </xf>
    <xf borderId="33" fillId="0" fontId="13" numFmtId="0" xfId="0" applyBorder="1" applyFont="1"/>
    <xf borderId="36" fillId="24" fontId="10" numFmtId="0" xfId="0" applyAlignment="1" applyBorder="1" applyFont="1">
      <alignment vertical="bottom"/>
    </xf>
    <xf borderId="33" fillId="24" fontId="10" numFmtId="0" xfId="0" applyAlignment="1" applyBorder="1" applyFont="1">
      <alignment vertical="bottom"/>
    </xf>
    <xf borderId="2" fillId="9" fontId="10" numFmtId="0" xfId="0" applyAlignment="1" applyBorder="1" applyFont="1">
      <alignment horizontal="center" readingOrder="0" shrinkToFit="0" wrapText="0"/>
    </xf>
    <xf borderId="1" fillId="0" fontId="10" numFmtId="49" xfId="0" applyAlignment="1" applyBorder="1" applyFont="1" applyNumberFormat="1">
      <alignment horizontal="center"/>
    </xf>
    <xf borderId="20" fillId="0" fontId="10" numFmtId="0" xfId="0" applyBorder="1" applyFont="1"/>
    <xf borderId="37" fillId="0" fontId="10" numFmtId="49" xfId="0" applyAlignment="1" applyBorder="1" applyFont="1" applyNumberFormat="1">
      <alignment horizontal="center" readingOrder="0" vertical="bottom"/>
    </xf>
    <xf borderId="20" fillId="0" fontId="10" numFmtId="0" xfId="0" applyAlignment="1" applyBorder="1" applyFont="1">
      <alignment vertical="bottom"/>
    </xf>
    <xf borderId="20" fillId="0" fontId="10" numFmtId="49" xfId="0" applyAlignment="1" applyBorder="1" applyFont="1" applyNumberFormat="1">
      <alignment horizontal="center" vertical="bottom"/>
    </xf>
    <xf borderId="33" fillId="0" fontId="30" numFmtId="0" xfId="0" applyAlignment="1" applyBorder="1" applyFont="1">
      <alignment horizontal="center" vertical="bottom"/>
    </xf>
    <xf borderId="6" fillId="0" fontId="10" numFmtId="165" xfId="0" applyAlignment="1" applyBorder="1" applyFont="1" applyNumberFormat="1">
      <alignment horizontal="center" readingOrder="0" vertical="bottom"/>
    </xf>
    <xf borderId="4" fillId="0" fontId="31" numFmtId="0" xfId="0" applyAlignment="1" applyBorder="1" applyFont="1">
      <alignment horizontal="center" readingOrder="0" shrinkToFit="0" wrapText="0"/>
    </xf>
    <xf borderId="5" fillId="0" fontId="32" numFmtId="165" xfId="0" applyAlignment="1" applyBorder="1" applyFont="1" applyNumberFormat="1">
      <alignment horizontal="center" shrinkToFit="0" wrapText="0"/>
    </xf>
    <xf borderId="3" fillId="11" fontId="30" numFmtId="0" xfId="0" applyAlignment="1" applyBorder="1" applyFont="1">
      <alignment shrinkToFit="0" vertical="bottom" wrapText="0"/>
    </xf>
    <xf borderId="0" fillId="0" fontId="10" numFmtId="0" xfId="0" applyFont="1"/>
    <xf borderId="26" fillId="0" fontId="10" numFmtId="166" xfId="0" applyBorder="1" applyFont="1" applyNumberFormat="1"/>
    <xf borderId="38" fillId="0" fontId="10" numFmtId="46" xfId="0" applyBorder="1" applyFont="1" applyNumberFormat="1"/>
    <xf borderId="38" fillId="11" fontId="30" numFmtId="0" xfId="0" applyAlignment="1" applyBorder="1" applyFont="1">
      <alignment readingOrder="0"/>
    </xf>
    <xf borderId="38" fillId="0" fontId="10" numFmtId="0" xfId="0" applyBorder="1" applyFont="1"/>
    <xf borderId="38" fillId="9" fontId="30" numFmtId="167" xfId="0" applyAlignment="1" applyBorder="1" applyFont="1" applyNumberFormat="1">
      <alignment horizontal="center" readingOrder="0"/>
    </xf>
    <xf borderId="13" fillId="0" fontId="10" numFmtId="49" xfId="0" applyAlignment="1" applyBorder="1" applyFont="1" applyNumberFormat="1">
      <alignment horizontal="center"/>
    </xf>
    <xf borderId="6" fillId="0" fontId="10" numFmtId="0" xfId="0" applyBorder="1" applyFont="1"/>
    <xf borderId="6" fillId="0" fontId="10" numFmtId="0" xfId="0" applyAlignment="1" applyBorder="1" applyFont="1">
      <alignment vertical="bottom"/>
    </xf>
    <xf borderId="6" fillId="0" fontId="10" numFmtId="49" xfId="0" applyAlignment="1" applyBorder="1" applyFont="1" applyNumberFormat="1">
      <alignment horizontal="center" vertical="bottom"/>
    </xf>
    <xf borderId="36" fillId="0" fontId="30" numFmtId="0" xfId="0" applyAlignment="1" applyBorder="1" applyFont="1">
      <alignment horizontal="center" vertical="bottom"/>
    </xf>
    <xf borderId="18" fillId="0" fontId="33" numFmtId="165" xfId="0" applyAlignment="1" applyBorder="1" applyFont="1" applyNumberFormat="1">
      <alignment horizontal="center" shrinkToFit="0" wrapText="0"/>
    </xf>
    <xf borderId="39" fillId="0" fontId="10" numFmtId="49" xfId="0" applyAlignment="1" applyBorder="1" applyFont="1" applyNumberFormat="1">
      <alignment horizontal="center" vertical="bottom"/>
    </xf>
    <xf borderId="6" fillId="0" fontId="10" numFmtId="165" xfId="0" applyAlignment="1" applyBorder="1" applyFont="1" applyNumberFormat="1">
      <alignment horizontal="center" readingOrder="0" vertical="center"/>
    </xf>
    <xf borderId="6" fillId="0" fontId="10" numFmtId="0" xfId="0" applyAlignment="1" applyBorder="1" applyFont="1">
      <alignment shrinkToFit="0" wrapText="1"/>
    </xf>
    <xf borderId="39" fillId="0" fontId="10" numFmtId="49" xfId="0" applyAlignment="1" applyBorder="1" applyFont="1" applyNumberFormat="1">
      <alignment horizontal="center" readingOrder="0" vertical="bottom"/>
    </xf>
    <xf borderId="10" fillId="0" fontId="30" numFmtId="0" xfId="0" applyAlignment="1" applyBorder="1" applyFont="1">
      <alignment horizontal="center" vertical="bottom"/>
    </xf>
    <xf borderId="1" fillId="0" fontId="10" numFmtId="165" xfId="0" applyAlignment="1" applyBorder="1" applyFont="1" applyNumberFormat="1">
      <alignment horizontal="center" readingOrder="0" vertical="bottom"/>
    </xf>
    <xf borderId="6" fillId="6" fontId="11" numFmtId="0" xfId="0" applyAlignment="1" applyBorder="1" applyFont="1">
      <alignment readingOrder="0" vertical="bottom"/>
    </xf>
    <xf borderId="1" fillId="0" fontId="30" numFmtId="0" xfId="0" applyAlignment="1" applyBorder="1" applyFont="1">
      <alignment horizontal="center" readingOrder="0" vertical="bottom"/>
    </xf>
    <xf borderId="6" fillId="0" fontId="30" numFmtId="0" xfId="0" applyAlignment="1" applyBorder="1" applyFont="1">
      <alignment horizontal="center" vertical="bottom"/>
    </xf>
    <xf borderId="1" fillId="0" fontId="34" numFmtId="0" xfId="0" applyAlignment="1" applyBorder="1" applyFont="1">
      <alignment horizontal="center" readingOrder="0" shrinkToFit="0" wrapText="0"/>
    </xf>
    <xf borderId="6" fillId="0" fontId="10" numFmtId="49" xfId="0" applyAlignment="1" applyBorder="1" applyFont="1" applyNumberFormat="1">
      <alignment horizontal="center" readingOrder="0" vertical="bottom"/>
    </xf>
    <xf borderId="6" fillId="0" fontId="30" numFmtId="0" xfId="0" applyAlignment="1" applyBorder="1" applyFont="1">
      <alignment horizontal="center" readingOrder="0"/>
    </xf>
    <xf borderId="1" fillId="0" fontId="10" numFmtId="165" xfId="0" applyAlignment="1" applyBorder="1" applyFont="1" applyNumberFormat="1">
      <alignment horizontal="center" readingOrder="0" vertical="center"/>
    </xf>
    <xf borderId="6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readingOrder="0" shrinkToFit="0" wrapText="1"/>
    </xf>
    <xf borderId="6" fillId="0" fontId="30" numFmtId="0" xfId="0" applyAlignment="1" applyBorder="1" applyFont="1">
      <alignment horizontal="center"/>
    </xf>
    <xf borderId="40" fillId="9" fontId="10" numFmtId="0" xfId="0" applyAlignment="1" applyBorder="1" applyFont="1">
      <alignment horizontal="center" readingOrder="0" shrinkToFit="0" wrapText="0"/>
    </xf>
    <xf borderId="1" fillId="9" fontId="10" numFmtId="0" xfId="0" applyAlignment="1" applyBorder="1" applyFont="1">
      <alignment horizontal="center" readingOrder="0" shrinkToFit="0" wrapText="0"/>
    </xf>
    <xf borderId="1" fillId="0" fontId="10" numFmtId="49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1" fillId="0" fontId="11" numFmtId="0" xfId="0" applyAlignment="1" applyBorder="1" applyFont="1">
      <alignment vertical="bottom"/>
    </xf>
    <xf borderId="1" fillId="0" fontId="10" numFmtId="49" xfId="0" applyAlignment="1" applyBorder="1" applyFont="1" applyNumberFormat="1">
      <alignment horizontal="center" readingOrder="0" vertical="bottom"/>
    </xf>
    <xf borderId="1" fillId="6" fontId="11" numFmtId="0" xfId="0" applyAlignment="1" applyBorder="1" applyFont="1">
      <alignment readingOrder="0" vertical="bottom"/>
    </xf>
    <xf borderId="1" fillId="6" fontId="10" numFmtId="49" xfId="0" applyAlignment="1" applyBorder="1" applyFont="1" applyNumberFormat="1">
      <alignment horizontal="center" vertical="bottom"/>
    </xf>
    <xf borderId="1" fillId="6" fontId="10" numFmtId="0" xfId="0" applyAlignment="1" applyBorder="1" applyFont="1">
      <alignment readingOrder="0" vertical="bottom"/>
    </xf>
    <xf borderId="1" fillId="6" fontId="10" numFmtId="0" xfId="0" applyAlignment="1" applyBorder="1" applyFont="1">
      <alignment vertical="bottom"/>
    </xf>
    <xf borderId="15" fillId="11" fontId="16" numFmtId="164" xfId="0" applyAlignment="1" applyBorder="1" applyFont="1" applyNumberFormat="1">
      <alignment horizontal="left" readingOrder="0" shrinkToFit="0" vertical="center" wrapText="0"/>
    </xf>
    <xf borderId="41" fillId="0" fontId="10" numFmtId="0" xfId="0" applyBorder="1" applyFont="1"/>
    <xf borderId="1" fillId="0" fontId="16" numFmtId="0" xfId="0" applyAlignment="1" applyBorder="1" applyFont="1">
      <alignment readingOrder="0" shrinkToFit="0" vertical="center" wrapText="0"/>
    </xf>
    <xf borderId="3" fillId="12" fontId="20" numFmtId="0" xfId="0" applyAlignment="1" applyBorder="1" applyFont="1">
      <alignment horizontal="center" readingOrder="0" shrinkToFit="0" vertical="center" wrapText="0"/>
    </xf>
    <xf borderId="42" fillId="9" fontId="20" numFmtId="0" xfId="0" applyAlignment="1" applyBorder="1" applyFont="1">
      <alignment readingOrder="0" shrinkToFit="0" vertical="center" wrapText="0"/>
    </xf>
    <xf borderId="30" fillId="0" fontId="13" numFmtId="0" xfId="0" applyBorder="1" applyFont="1"/>
    <xf borderId="1" fillId="0" fontId="35" numFmtId="0" xfId="0" applyAlignment="1" applyBorder="1" applyFont="1">
      <alignment readingOrder="0" shrinkToFit="0" vertical="center" wrapText="0"/>
    </xf>
    <xf borderId="0" fillId="0" fontId="36" numFmtId="2" xfId="0" applyAlignment="1" applyFont="1" applyNumberFormat="1">
      <alignment horizontal="center" readingOrder="0" shrinkToFit="0" vertical="center" wrapText="0"/>
    </xf>
    <xf borderId="4" fillId="15" fontId="15" numFmtId="0" xfId="0" applyAlignment="1" applyBorder="1" applyFont="1">
      <alignment horizontal="center" readingOrder="0"/>
    </xf>
    <xf borderId="29" fillId="18" fontId="26" numFmtId="49" xfId="0" applyAlignment="1" applyBorder="1" applyFont="1" applyNumberFormat="1">
      <alignment horizontal="center" readingOrder="0" shrinkToFit="0" vertical="center" wrapText="0"/>
    </xf>
    <xf borderId="13" fillId="20" fontId="27" numFmtId="0" xfId="0" applyAlignment="1" applyBorder="1" applyFont="1">
      <alignment horizontal="center" readingOrder="0"/>
    </xf>
    <xf borderId="23" fillId="22" fontId="28" numFmtId="0" xfId="0" applyAlignment="1" applyBorder="1" applyFont="1">
      <alignment horizontal="center" readingOrder="0" shrinkToFit="0" vertical="center" wrapText="0"/>
    </xf>
    <xf borderId="0" fillId="23" fontId="29" numFmtId="0" xfId="0" applyAlignment="1" applyFont="1">
      <alignment horizontal="center" readingOrder="0" shrinkToFit="0" vertical="center" wrapText="0"/>
    </xf>
    <xf borderId="38" fillId="24" fontId="4" numFmtId="0" xfId="0" applyAlignment="1" applyBorder="1" applyFont="1">
      <alignment horizontal="center" readingOrder="0" shrinkToFit="0" vertical="center" wrapText="0"/>
    </xf>
    <xf borderId="26" fillId="7" fontId="37" numFmtId="49" xfId="0" applyAlignment="1" applyBorder="1" applyFont="1" applyNumberFormat="1">
      <alignment horizontal="center" readingOrder="0" shrinkToFit="0" wrapText="0"/>
    </xf>
    <xf borderId="32" fillId="7" fontId="38" numFmtId="0" xfId="0" applyAlignment="1" applyBorder="1" applyFont="1">
      <alignment readingOrder="0" shrinkToFit="0" wrapText="0"/>
    </xf>
    <xf borderId="32" fillId="7" fontId="39" numFmtId="49" xfId="0" applyAlignment="1" applyBorder="1" applyFont="1" applyNumberFormat="1">
      <alignment horizontal="center" shrinkToFit="0" vertical="center" wrapText="0"/>
    </xf>
    <xf borderId="32" fillId="24" fontId="39" numFmtId="0" xfId="0" applyAlignment="1" applyBorder="1" applyFont="1">
      <alignment shrinkToFit="0" vertical="center" wrapText="0"/>
    </xf>
    <xf borderId="32" fillId="24" fontId="39" numFmtId="0" xfId="0" applyAlignment="1" applyBorder="1" applyFont="1">
      <alignment horizontal="center" shrinkToFit="0" vertical="center" wrapText="0"/>
    </xf>
    <xf borderId="0" fillId="24" fontId="39" numFmtId="0" xfId="0" applyAlignment="1" applyFont="1">
      <alignment horizontal="center" shrinkToFit="0" vertical="center" wrapText="0"/>
    </xf>
    <xf borderId="43" fillId="24" fontId="10" numFmtId="0" xfId="0" applyBorder="1" applyFont="1"/>
    <xf borderId="2" fillId="24" fontId="4" numFmtId="0" xfId="0" applyAlignment="1" applyBorder="1" applyFont="1">
      <alignment readingOrder="0" shrinkToFit="0" vertical="center" wrapText="0"/>
    </xf>
    <xf borderId="36" fillId="0" fontId="13" numFmtId="0" xfId="0" applyBorder="1" applyFont="1"/>
    <xf borderId="0" fillId="24" fontId="4" numFmtId="0" xfId="0" applyAlignment="1" applyFont="1">
      <alignment horizontal="center" readingOrder="0" shrinkToFit="0" vertical="center" wrapText="0"/>
    </xf>
    <xf borderId="38" fillId="24" fontId="4" numFmtId="46" xfId="0" applyAlignment="1" applyBorder="1" applyFont="1" applyNumberFormat="1">
      <alignment horizontal="center" readingOrder="0" shrinkToFit="0" vertical="center" wrapText="0"/>
    </xf>
    <xf borderId="38" fillId="24" fontId="4" numFmtId="0" xfId="0" applyAlignment="1" applyBorder="1" applyFont="1">
      <alignment readingOrder="0" shrinkToFit="0" vertical="center" wrapText="0"/>
    </xf>
    <xf borderId="0" fillId="0" fontId="40" numFmtId="0" xfId="0" applyAlignment="1" applyFont="1">
      <alignment shrinkToFit="0" vertical="center" wrapText="0"/>
    </xf>
    <xf borderId="38" fillId="9" fontId="4" numFmtId="0" xfId="0" applyAlignment="1" applyBorder="1" applyFont="1">
      <alignment horizontal="center" readingOrder="0" shrinkToFit="0" vertical="center" wrapText="0"/>
    </xf>
    <xf borderId="26" fillId="0" fontId="39" numFmtId="49" xfId="0" applyAlignment="1" applyBorder="1" applyFont="1" applyNumberFormat="1">
      <alignment horizontal="center" readingOrder="0" shrinkToFit="0" vertical="center" wrapText="0"/>
    </xf>
    <xf borderId="1" fillId="0" fontId="39" numFmtId="0" xfId="0" applyAlignment="1" applyBorder="1" applyFont="1">
      <alignment readingOrder="0" vertical="bottom"/>
    </xf>
    <xf borderId="3" fillId="0" fontId="41" numFmtId="49" xfId="0" applyAlignment="1" applyBorder="1" applyFont="1" applyNumberFormat="1">
      <alignment horizontal="center" readingOrder="0" shrinkToFit="0" vertical="center" wrapText="0"/>
    </xf>
    <xf borderId="1" fillId="0" fontId="39" numFmtId="49" xfId="0" applyAlignment="1" applyBorder="1" applyFont="1" applyNumberFormat="1">
      <alignment readingOrder="0" vertical="bottom"/>
    </xf>
    <xf borderId="1" fillId="0" fontId="42" numFmtId="0" xfId="0" applyAlignment="1" applyBorder="1" applyFont="1">
      <alignment horizontal="center" readingOrder="0" shrinkToFit="0" vertical="center" wrapText="0"/>
    </xf>
    <xf borderId="1" fillId="0" fontId="43" numFmtId="168" xfId="0" applyAlignment="1" applyBorder="1" applyFont="1" applyNumberFormat="1">
      <alignment horizontal="center" readingOrder="0" shrinkToFit="0" vertical="center" wrapText="0"/>
    </xf>
    <xf borderId="4" fillId="0" fontId="44" numFmtId="0" xfId="0" applyAlignment="1" applyBorder="1" applyFont="1">
      <alignment readingOrder="0" shrinkToFit="0" vertical="center" wrapText="0"/>
    </xf>
    <xf borderId="1" fillId="0" fontId="42" numFmtId="168" xfId="0" applyAlignment="1" applyBorder="1" applyFont="1" applyNumberFormat="1">
      <alignment horizontal="center" readingOrder="0" shrinkToFit="0" vertical="center" wrapText="0"/>
    </xf>
    <xf borderId="26" fillId="0" fontId="45" numFmtId="46" xfId="0" applyAlignment="1" applyBorder="1" applyFont="1" applyNumberFormat="1">
      <alignment horizontal="center" readingOrder="0" shrinkToFit="0" wrapText="0"/>
    </xf>
    <xf borderId="26" fillId="11" fontId="46" numFmtId="0" xfId="0" applyAlignment="1" applyBorder="1" applyFont="1">
      <alignment readingOrder="0" shrinkToFit="0" vertical="center" wrapText="0"/>
    </xf>
    <xf borderId="38" fillId="0" fontId="40" numFmtId="0" xfId="0" applyAlignment="1" applyBorder="1" applyFont="1">
      <alignment horizontal="center" readingOrder="0" shrinkToFit="0" vertical="center" wrapText="0"/>
    </xf>
    <xf borderId="38" fillId="9" fontId="40" numFmtId="167" xfId="0" applyAlignment="1" applyBorder="1" applyFont="1" applyNumberFormat="1">
      <alignment horizontal="center" readingOrder="0" shrinkToFit="0" vertical="center" wrapText="0"/>
    </xf>
    <xf borderId="26" fillId="0" fontId="41" numFmtId="49" xfId="0" applyAlignment="1" applyBorder="1" applyFont="1" applyNumberFormat="1">
      <alignment horizontal="center" readingOrder="0" shrinkToFit="0" vertical="center" wrapText="0"/>
    </xf>
    <xf borderId="1" fillId="0" fontId="43" numFmtId="0" xfId="0" applyAlignment="1" applyBorder="1" applyFont="1">
      <alignment readingOrder="0"/>
    </xf>
    <xf borderId="0" fillId="24" fontId="4" numFmtId="0" xfId="0" applyAlignment="1" applyFont="1">
      <alignment shrinkToFit="0" vertical="center" wrapText="0"/>
    </xf>
    <xf borderId="38" fillId="24" fontId="39" numFmtId="0" xfId="0" applyAlignment="1" applyBorder="1" applyFont="1">
      <alignment horizontal="center" shrinkToFit="0" vertical="center" wrapText="0"/>
    </xf>
    <xf borderId="26" fillId="24" fontId="43" numFmtId="0" xfId="0" applyAlignment="1" applyBorder="1" applyFont="1">
      <alignment horizontal="center" readingOrder="0" shrinkToFit="0" vertical="center" wrapText="0"/>
    </xf>
    <xf borderId="26" fillId="24" fontId="4" numFmtId="0" xfId="0" applyAlignment="1" applyBorder="1" applyFont="1">
      <alignment horizontal="center" readingOrder="0" shrinkToFit="0" vertical="center" wrapText="0"/>
    </xf>
    <xf borderId="26" fillId="24" fontId="42" numFmtId="0" xfId="0" applyAlignment="1" applyBorder="1" applyFont="1">
      <alignment horizontal="center" readingOrder="0" shrinkToFit="0" vertical="center" wrapText="0"/>
    </xf>
    <xf borderId="26" fillId="0" fontId="4" numFmtId="0" xfId="0" applyAlignment="1" applyBorder="1" applyFont="1">
      <alignment horizontal="center" readingOrder="0" shrinkToFit="0" vertical="center" wrapText="0"/>
    </xf>
    <xf borderId="18" fillId="0" fontId="47" numFmtId="0" xfId="0" applyAlignment="1" applyBorder="1" applyFont="1">
      <alignment readingOrder="0" shrinkToFit="0" vertical="center" wrapText="0"/>
    </xf>
    <xf borderId="26" fillId="0" fontId="4" numFmtId="169" xfId="0" applyAlignment="1" applyBorder="1" applyFont="1" applyNumberFormat="1">
      <alignment horizontal="center" shrinkToFit="0" vertical="center" wrapText="0"/>
    </xf>
    <xf borderId="38" fillId="0" fontId="45" numFmtId="46" xfId="0" applyAlignment="1" applyBorder="1" applyFont="1" applyNumberFormat="1">
      <alignment horizontal="center" readingOrder="0" shrinkToFit="0" wrapText="0"/>
    </xf>
    <xf borderId="38" fillId="0" fontId="4" numFmtId="0" xfId="0" applyAlignment="1" applyBorder="1" applyFont="1">
      <alignment horizontal="center" readingOrder="0" shrinkToFit="0" vertical="center" wrapText="0"/>
    </xf>
    <xf borderId="44" fillId="24" fontId="39" numFmtId="0" xfId="0" applyAlignment="1" applyBorder="1" applyFont="1">
      <alignment shrinkToFit="0" vertical="center" wrapText="0"/>
    </xf>
    <xf borderId="38" fillId="24" fontId="43" numFmtId="0" xfId="0" applyAlignment="1" applyBorder="1" applyFont="1">
      <alignment horizontal="center" readingOrder="0" shrinkToFit="0" vertical="center" wrapText="0"/>
    </xf>
    <xf borderId="0" fillId="24" fontId="40" numFmtId="0" xfId="0" applyAlignment="1" applyFont="1">
      <alignment horizontal="center" readingOrder="0" shrinkToFit="0" vertical="center" wrapText="0"/>
    </xf>
    <xf borderId="6" fillId="0" fontId="43" numFmtId="168" xfId="0" applyAlignment="1" applyBorder="1" applyFont="1" applyNumberFormat="1">
      <alignment horizontal="center" readingOrder="0" shrinkToFit="0" vertical="center" wrapText="0"/>
    </xf>
    <xf borderId="2" fillId="24" fontId="4" numFmtId="0" xfId="0" applyAlignment="1" applyBorder="1" applyFont="1">
      <alignment horizontal="center" readingOrder="0" shrinkToFit="0" vertical="center" wrapText="0"/>
    </xf>
    <xf borderId="1" fillId="7" fontId="37" numFmtId="49" xfId="0" applyAlignment="1" applyBorder="1" applyFont="1" applyNumberFormat="1">
      <alignment horizontal="center" readingOrder="0" shrinkToFit="0" wrapText="0"/>
    </xf>
    <xf borderId="1" fillId="7" fontId="38" numFmtId="0" xfId="0" applyAlignment="1" applyBorder="1" applyFont="1">
      <alignment readingOrder="0" shrinkToFit="0" wrapText="0"/>
    </xf>
    <xf borderId="0" fillId="7" fontId="39" numFmtId="49" xfId="0" applyAlignment="1" applyFont="1" applyNumberFormat="1">
      <alignment horizontal="center" shrinkToFit="0" vertical="center" wrapText="0"/>
    </xf>
    <xf borderId="1" fillId="24" fontId="39" numFmtId="0" xfId="0" applyAlignment="1" applyBorder="1" applyFont="1">
      <alignment shrinkToFit="0" vertical="center" wrapText="0"/>
    </xf>
    <xf borderId="1" fillId="24" fontId="39" numFmtId="0" xfId="0" applyAlignment="1" applyBorder="1" applyFont="1">
      <alignment horizontal="center" shrinkToFit="0" vertical="center" wrapText="0"/>
    </xf>
    <xf borderId="1" fillId="24" fontId="43" numFmtId="0" xfId="0" applyAlignment="1" applyBorder="1" applyFont="1">
      <alignment horizontal="center" readingOrder="0" shrinkToFit="0" vertical="center" wrapText="0"/>
    </xf>
    <xf borderId="18" fillId="24" fontId="4" numFmtId="0" xfId="0" applyAlignment="1" applyBorder="1" applyFont="1">
      <alignment horizontal="center" readingOrder="0" shrinkToFit="0" vertical="center" wrapText="0"/>
    </xf>
    <xf borderId="38" fillId="0" fontId="39" numFmtId="49" xfId="0" applyAlignment="1" applyBorder="1" applyFont="1" applyNumberFormat="1">
      <alignment horizontal="center" readingOrder="0" shrinkToFit="0" vertical="center" wrapText="0"/>
    </xf>
    <xf borderId="31" fillId="11" fontId="30" numFmtId="0" xfId="0" applyAlignment="1" applyBorder="1" applyFont="1">
      <alignment shrinkToFit="0" vertical="bottom" wrapText="0"/>
    </xf>
    <xf borderId="45" fillId="0" fontId="13" numFmtId="0" xfId="0" applyBorder="1" applyFont="1"/>
    <xf borderId="1" fillId="0" fontId="48" numFmtId="0" xfId="0" applyAlignment="1" applyBorder="1" applyFont="1">
      <alignment readingOrder="0" shrinkToFit="0" vertical="center" wrapText="0"/>
    </xf>
    <xf borderId="18" fillId="11" fontId="30" numFmtId="0" xfId="0" applyAlignment="1" applyBorder="1" applyFont="1">
      <alignment shrinkToFit="0" vertical="bottom" wrapText="0"/>
    </xf>
    <xf borderId="38" fillId="11" fontId="46" numFmtId="0" xfId="0" applyAlignment="1" applyBorder="1" applyFont="1">
      <alignment readingOrder="0" shrinkToFit="0" vertical="center" wrapText="0"/>
    </xf>
    <xf borderId="38" fillId="0" fontId="4" numFmtId="169" xfId="0" applyAlignment="1" applyBorder="1" applyFont="1" applyNumberFormat="1">
      <alignment horizontal="center" shrinkToFit="0" vertical="center" wrapText="0"/>
    </xf>
    <xf borderId="31" fillId="7" fontId="39" numFmtId="49" xfId="0" applyAlignment="1" applyBorder="1" applyFont="1" applyNumberFormat="1">
      <alignment horizontal="center" shrinkToFit="0" vertical="center" wrapText="0"/>
    </xf>
    <xf borderId="46" fillId="24" fontId="39" numFmtId="0" xfId="0" applyAlignment="1" applyBorder="1" applyFont="1">
      <alignment horizontal="center" shrinkToFit="0" vertical="center" wrapText="0"/>
    </xf>
    <xf borderId="32" fillId="24" fontId="43" numFmtId="0" xfId="0" applyAlignment="1" applyBorder="1" applyFont="1">
      <alignment horizontal="center" readingOrder="0" shrinkToFit="0" vertical="center" wrapText="0"/>
    </xf>
    <xf borderId="32" fillId="24" fontId="4" numFmtId="0" xfId="0" applyAlignment="1" applyBorder="1" applyFont="1">
      <alignment horizontal="center" readingOrder="0" shrinkToFit="0" vertical="center" wrapText="0"/>
    </xf>
    <xf borderId="1" fillId="0" fontId="43" numFmtId="49" xfId="0" applyAlignment="1" applyBorder="1" applyFont="1" applyNumberFormat="1">
      <alignment readingOrder="0"/>
    </xf>
    <xf borderId="1" fillId="0" fontId="41" numFmtId="0" xfId="0" applyAlignment="1" applyBorder="1" applyFont="1">
      <alignment horizontal="center" readingOrder="0" shrinkToFit="0" vertical="center" wrapText="0"/>
    </xf>
    <xf borderId="31" fillId="0" fontId="39" numFmtId="49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readingOrder="0"/>
    </xf>
    <xf borderId="33" fillId="0" fontId="41" numFmtId="49" xfId="0" applyAlignment="1" applyBorder="1" applyFont="1" applyNumberFormat="1">
      <alignment horizontal="center" readingOrder="0" shrinkToFit="0" vertical="center" wrapText="0"/>
    </xf>
    <xf borderId="2" fillId="9" fontId="4" numFmtId="0" xfId="0" applyAlignment="1" applyBorder="1" applyFont="1">
      <alignment horizontal="center" readingOrder="0" shrinkToFit="0" vertical="center" wrapText="0"/>
    </xf>
    <xf borderId="31" fillId="0" fontId="10" numFmtId="49" xfId="0" applyAlignment="1" applyBorder="1" applyFont="1" applyNumberFormat="1">
      <alignment horizontal="center" shrinkToFit="0" wrapText="0"/>
    </xf>
    <xf borderId="36" fillId="24" fontId="39" numFmtId="0" xfId="0" applyAlignment="1" applyBorder="1" applyFont="1">
      <alignment horizontal="center" shrinkToFit="0" vertical="center" wrapText="0"/>
    </xf>
    <xf borderId="1" fillId="0" fontId="41" numFmtId="49" xfId="0" applyAlignment="1" applyBorder="1" applyFont="1" applyNumberFormat="1">
      <alignment horizontal="center" readingOrder="0" shrinkToFit="0" vertical="center" wrapText="0"/>
    </xf>
    <xf borderId="40" fillId="24" fontId="4" numFmtId="0" xfId="0" applyAlignment="1" applyBorder="1" applyFont="1">
      <alignment horizontal="center" readingOrder="0" shrinkToFit="0" vertical="center" wrapText="0"/>
    </xf>
    <xf borderId="1" fillId="7" fontId="39" numFmtId="49" xfId="0" applyAlignment="1" applyBorder="1" applyFont="1" applyNumberFormat="1">
      <alignment horizontal="center" shrinkToFit="0" vertical="center" wrapText="0"/>
    </xf>
    <xf borderId="44" fillId="24" fontId="43" numFmtId="0" xfId="0" applyAlignment="1" applyBorder="1" applyFont="1">
      <alignment horizontal="center" readingOrder="0" shrinkToFit="0" vertical="center" wrapText="0"/>
    </xf>
    <xf borderId="44" fillId="24" fontId="4" numFmtId="0" xfId="0" applyAlignment="1" applyBorder="1" applyFont="1">
      <alignment horizontal="center" readingOrder="0" shrinkToFit="0" vertical="center" wrapText="0"/>
    </xf>
    <xf borderId="46" fillId="0" fontId="13" numFmtId="0" xfId="0" applyBorder="1" applyFont="1"/>
    <xf borderId="1" fillId="9" fontId="4" numFmtId="0" xfId="0" applyAlignment="1" applyBorder="1" applyFont="1">
      <alignment horizontal="center" readingOrder="0" shrinkToFit="0" vertical="center" wrapText="0"/>
    </xf>
    <xf borderId="3" fillId="0" fontId="39" numFmtId="49" xfId="0" applyAlignment="1" applyBorder="1" applyFont="1" applyNumberFormat="1">
      <alignment horizontal="center" readingOrder="0" shrinkToFit="0" vertical="center" wrapText="0"/>
    </xf>
    <xf borderId="1" fillId="0" fontId="4" numFmtId="49" xfId="0" applyAlignment="1" applyBorder="1" applyFont="1" applyNumberFormat="1">
      <alignment readingOrder="0"/>
    </xf>
    <xf borderId="1" fillId="0" fontId="39" numFmtId="49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readingOrder="0" vertical="bottom"/>
    </xf>
    <xf borderId="2" fillId="0" fontId="41" numFmtId="49" xfId="0" applyAlignment="1" applyBorder="1" applyFont="1" applyNumberFormat="1">
      <alignment horizontal="center" readingOrder="0" shrinkToFit="0" vertical="center" wrapText="0"/>
    </xf>
    <xf borderId="38" fillId="0" fontId="30" numFmtId="0" xfId="0" applyAlignment="1" applyBorder="1" applyFont="1">
      <alignment horizontal="center" readingOrder="0" shrinkToFit="0" vertical="center" wrapText="0"/>
    </xf>
    <xf borderId="38" fillId="7" fontId="37" numFmtId="49" xfId="0" applyAlignment="1" applyBorder="1" applyFont="1" applyNumberFormat="1">
      <alignment horizontal="center" readingOrder="0" shrinkToFit="0" wrapText="0"/>
    </xf>
    <xf borderId="44" fillId="7" fontId="38" numFmtId="0" xfId="0" applyAlignment="1" applyBorder="1" applyFont="1">
      <alignment readingOrder="0" shrinkToFit="0" wrapText="0"/>
    </xf>
    <xf borderId="40" fillId="7" fontId="39" numFmtId="49" xfId="0" applyAlignment="1" applyBorder="1" applyFont="1" applyNumberFormat="1">
      <alignment horizontal="center" shrinkToFit="0" vertical="center" wrapText="0"/>
    </xf>
    <xf borderId="26" fillId="11" fontId="49" numFmtId="0" xfId="0" applyAlignment="1" applyBorder="1" applyFont="1">
      <alignment readingOrder="0" shrinkToFit="0" vertical="center" wrapText="0"/>
    </xf>
    <xf borderId="12" fillId="0" fontId="10" numFmtId="0" xfId="0" applyAlignment="1" applyBorder="1" applyFont="1">
      <alignment vertical="bottom"/>
    </xf>
    <xf borderId="42" fillId="9" fontId="20" numFmtId="0" xfId="0" applyAlignment="1" applyBorder="1" applyFont="1">
      <alignment horizontal="left" readingOrder="0" shrinkToFit="0" vertical="center" wrapText="0"/>
    </xf>
    <xf borderId="1" fillId="0" fontId="50" numFmtId="0" xfId="0" applyAlignment="1" applyBorder="1" applyFont="1">
      <alignment readingOrder="0" shrinkToFit="0" vertical="center" wrapText="0"/>
    </xf>
    <xf borderId="12" fillId="0" fontId="10" numFmtId="0" xfId="0" applyAlignment="1" applyBorder="1" applyFont="1">
      <alignment readingOrder="0" vertical="bottom"/>
    </xf>
    <xf borderId="1" fillId="0" fontId="22" numFmtId="21" xfId="0" applyAlignment="1" applyBorder="1" applyFont="1" applyNumberFormat="1">
      <alignment horizontal="center" readingOrder="0" shrinkToFit="0" vertical="center" wrapText="0"/>
    </xf>
    <xf borderId="4" fillId="15" fontId="10" numFmtId="0" xfId="0" applyAlignment="1" applyBorder="1" applyFont="1">
      <alignment vertical="bottom"/>
    </xf>
    <xf borderId="1" fillId="10" fontId="16" numFmtId="164" xfId="0" applyAlignment="1" applyBorder="1" applyFont="1" applyNumberFormat="1">
      <alignment horizontal="center" readingOrder="0" shrinkToFit="0" vertical="center" wrapText="0"/>
    </xf>
    <xf borderId="13" fillId="20" fontId="27" numFmtId="0" xfId="0" applyAlignment="1" applyBorder="1" applyFont="1">
      <alignment horizontal="center" readingOrder="0" vertical="bottom"/>
    </xf>
    <xf borderId="46" fillId="0" fontId="10" numFmtId="0" xfId="0" applyBorder="1" applyFont="1"/>
    <xf borderId="33" fillId="24" fontId="10" numFmtId="0" xfId="0" applyBorder="1" applyFont="1"/>
    <xf borderId="33" fillId="6" fontId="11" numFmtId="164" xfId="0" applyAlignment="1" applyBorder="1" applyFont="1" applyNumberFormat="1">
      <alignment horizontal="center" readingOrder="0" shrinkToFit="0" wrapText="0"/>
    </xf>
    <xf borderId="33" fillId="6" fontId="51" numFmtId="0" xfId="0" applyAlignment="1" applyBorder="1" applyFont="1">
      <alignment readingOrder="0" shrinkToFit="0" wrapText="0"/>
    </xf>
    <xf borderId="33" fillId="24" fontId="10" numFmtId="49" xfId="0" applyBorder="1" applyFont="1" applyNumberFormat="1"/>
    <xf borderId="33" fillId="24" fontId="10" numFmtId="0" xfId="0" applyAlignment="1" applyBorder="1" applyFont="1">
      <alignment readingOrder="0"/>
    </xf>
    <xf borderId="33" fillId="24" fontId="10" numFmtId="0" xfId="0" applyAlignment="1" applyBorder="1" applyFont="1">
      <alignment horizontal="center"/>
    </xf>
    <xf borderId="1" fillId="24" fontId="10" numFmtId="0" xfId="0" applyAlignment="1" applyBorder="1" applyFont="1">
      <alignment horizontal="center"/>
    </xf>
    <xf borderId="46" fillId="0" fontId="10" numFmtId="0" xfId="0" applyBorder="1" applyFont="1"/>
    <xf borderId="36" fillId="9" fontId="10" numFmtId="0" xfId="0" applyAlignment="1" applyBorder="1" applyFont="1">
      <alignment readingOrder="0"/>
    </xf>
    <xf borderId="26" fillId="0" fontId="10" numFmtId="49" xfId="0" applyAlignment="1" applyBorder="1" applyFont="1" applyNumberFormat="1">
      <alignment horizontal="center" readingOrder="0" shrinkToFit="0" vertical="center" wrapText="0"/>
    </xf>
    <xf borderId="26" fillId="0" fontId="7" numFmtId="0" xfId="0" applyAlignment="1" applyBorder="1" applyFont="1">
      <alignment shrinkToFit="0" vertical="center" wrapText="0"/>
    </xf>
    <xf borderId="36" fillId="0" fontId="10" numFmtId="49" xfId="0" applyAlignment="1" applyBorder="1" applyFont="1" applyNumberFormat="1">
      <alignment horizontal="center" readingOrder="0" shrinkToFit="0" wrapText="0"/>
    </xf>
    <xf borderId="26" fillId="0" fontId="10" numFmtId="0" xfId="0" applyAlignment="1" applyBorder="1" applyFont="1">
      <alignment readingOrder="0" shrinkToFit="0" vertical="center" wrapText="0"/>
    </xf>
    <xf borderId="36" fillId="0" fontId="30" numFmtId="0" xfId="0" applyAlignment="1" applyBorder="1" applyFont="1">
      <alignment horizontal="center" readingOrder="0" shrinkToFit="0" wrapText="0"/>
    </xf>
    <xf borderId="36" fillId="0" fontId="10" numFmtId="166" xfId="0" applyAlignment="1" applyBorder="1" applyFont="1" applyNumberFormat="1">
      <alignment horizontal="center" readingOrder="0"/>
    </xf>
    <xf borderId="13" fillId="0" fontId="52" numFmtId="0" xfId="0" applyAlignment="1" applyBorder="1" applyFont="1">
      <alignment horizontal="center" readingOrder="0"/>
    </xf>
    <xf borderId="3" fillId="11" fontId="40" numFmtId="0" xfId="0" applyAlignment="1" applyBorder="1" applyFont="1">
      <alignment shrinkToFit="0" vertical="center" wrapText="0"/>
    </xf>
    <xf borderId="1" fillId="0" fontId="10" numFmtId="166" xfId="0" applyAlignment="1" applyBorder="1" applyFont="1" applyNumberFormat="1">
      <alignment horizontal="center" readingOrder="0"/>
    </xf>
    <xf borderId="36" fillId="11" fontId="10" numFmtId="0" xfId="0" applyAlignment="1" applyBorder="1" applyFont="1">
      <alignment readingOrder="0"/>
    </xf>
    <xf borderId="36" fillId="0" fontId="10" numFmtId="169" xfId="0" applyBorder="1" applyFont="1" applyNumberFormat="1"/>
    <xf borderId="26" fillId="9" fontId="40" numFmtId="167" xfId="0" applyAlignment="1" applyBorder="1" applyFont="1" applyNumberFormat="1">
      <alignment horizontal="center" readingOrder="0" shrinkToFit="0" vertical="center" wrapText="0"/>
    </xf>
    <xf borderId="26" fillId="0" fontId="7" numFmtId="0" xfId="0" applyAlignment="1" applyBorder="1" applyFont="1">
      <alignment readingOrder="0" shrinkToFit="0" vertical="center" wrapText="0"/>
    </xf>
    <xf borderId="33" fillId="0" fontId="53" numFmtId="0" xfId="0" applyAlignment="1" applyBorder="1" applyFont="1">
      <alignment readingOrder="0" shrinkToFit="0" wrapText="0"/>
    </xf>
    <xf borderId="36" fillId="0" fontId="10" numFmtId="0" xfId="0" applyAlignment="1" applyBorder="1" applyFont="1">
      <alignment readingOrder="0" shrinkToFit="0" wrapText="0"/>
    </xf>
    <xf borderId="36" fillId="0" fontId="30" numFmtId="0" xfId="0" applyAlignment="1" applyBorder="1" applyFont="1">
      <alignment horizontal="center" readingOrder="0"/>
    </xf>
    <xf borderId="36" fillId="11" fontId="10" numFmtId="0" xfId="0" applyBorder="1" applyFont="1"/>
    <xf borderId="46" fillId="0" fontId="30" numFmtId="0" xfId="0" applyAlignment="1" applyBorder="1" applyFont="1">
      <alignment horizontal="center" readingOrder="0"/>
    </xf>
    <xf borderId="26" fillId="9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1" fillId="0" fontId="40" numFmtId="0" xfId="0" applyAlignment="1" applyBorder="1" applyFont="1">
      <alignment horizontal="center" readingOrder="0" shrinkToFit="0" vertical="center" wrapText="0"/>
    </xf>
    <xf borderId="33" fillId="0" fontId="40" numFmtId="0" xfId="0" applyAlignment="1" applyBorder="1" applyFont="1">
      <alignment horizontal="center" readingOrder="0" shrinkToFit="0" vertical="center" wrapText="0"/>
    </xf>
    <xf borderId="26" fillId="11" fontId="4" numFmtId="0" xfId="0" applyAlignment="1" applyBorder="1" applyFont="1">
      <alignment readingOrder="0" shrinkToFit="0" vertical="center" wrapText="0"/>
    </xf>
    <xf borderId="36" fillId="24" fontId="10" numFmtId="0" xfId="0" applyAlignment="1" applyBorder="1" applyFont="1">
      <alignment readingOrder="0" shrinkToFit="0" wrapText="0"/>
    </xf>
    <xf borderId="36" fillId="24" fontId="30" numFmtId="0" xfId="0" applyBorder="1" applyFont="1"/>
    <xf borderId="36" fillId="0" fontId="10" numFmtId="0" xfId="0" applyAlignment="1" applyBorder="1" applyFont="1">
      <alignment horizontal="center" readingOrder="0"/>
    </xf>
    <xf borderId="36" fillId="0" fontId="10" numFmtId="0" xfId="0" applyAlignment="1" applyBorder="1" applyFont="1">
      <alignment shrinkToFit="0" wrapText="0"/>
    </xf>
    <xf borderId="46" fillId="0" fontId="10" numFmtId="0" xfId="0" applyAlignment="1" applyBorder="1" applyFont="1">
      <alignment readingOrder="0" shrinkToFit="0" wrapText="0"/>
    </xf>
    <xf borderId="26" fillId="0" fontId="4" numFmtId="166" xfId="0" applyAlignment="1" applyBorder="1" applyFont="1" applyNumberFormat="1">
      <alignment horizontal="center" readingOrder="0" shrinkToFit="0" vertical="center" wrapText="0"/>
    </xf>
    <xf borderId="1" fillId="0" fontId="4" numFmtId="166" xfId="0" applyAlignment="1" applyBorder="1" applyFont="1" applyNumberFormat="1">
      <alignment horizontal="center" readingOrder="0" shrinkToFit="0" vertical="center" wrapText="0"/>
    </xf>
    <xf borderId="33" fillId="9" fontId="4" numFmtId="0" xfId="0" applyAlignment="1" applyBorder="1" applyFont="1">
      <alignment horizontal="center" readingOrder="0" shrinkToFit="0" vertical="center" wrapText="0"/>
    </xf>
    <xf borderId="47" fillId="0" fontId="10" numFmtId="49" xfId="0" applyAlignment="1" applyBorder="1" applyFont="1" applyNumberFormat="1">
      <alignment horizontal="center" readingOrder="0" shrinkToFit="0" wrapText="0"/>
    </xf>
    <xf borderId="1" fillId="0" fontId="10" numFmtId="0" xfId="0" applyAlignment="1" applyBorder="1" applyFont="1">
      <alignment readingOrder="0" shrinkToFit="0" vertical="bottom" wrapText="0"/>
    </xf>
    <xf borderId="33" fillId="0" fontId="4" numFmtId="166" xfId="0" applyAlignment="1" applyBorder="1" applyFont="1" applyNumberFormat="1">
      <alignment horizontal="center" readingOrder="0" shrinkToFit="0" vertical="center" wrapText="0"/>
    </xf>
    <xf borderId="33" fillId="11" fontId="4" numFmtId="0" xfId="0" applyAlignment="1" applyBorder="1" applyFont="1">
      <alignment shrinkToFit="0" vertical="center" wrapText="0"/>
    </xf>
    <xf borderId="33" fillId="0" fontId="4" numFmtId="169" xfId="0" applyAlignment="1" applyBorder="1" applyFont="1" applyNumberFormat="1">
      <alignment horizontal="center" shrinkToFit="0" vertical="center" wrapText="0"/>
    </xf>
    <xf borderId="36" fillId="24" fontId="10" numFmtId="0" xfId="0" applyBorder="1" applyFont="1"/>
    <xf borderId="45" fillId="24" fontId="10" numFmtId="0" xfId="0" applyBorder="1" applyFont="1"/>
    <xf borderId="47" fillId="0" fontId="10" numFmtId="166" xfId="0" applyAlignment="1" applyBorder="1" applyFont="1" applyNumberFormat="1">
      <alignment horizontal="center" readingOrder="0"/>
    </xf>
    <xf borderId="1" fillId="0" fontId="54" numFmtId="0" xfId="0" applyAlignment="1" applyBorder="1" applyFont="1">
      <alignment horizontal="center" readingOrder="0"/>
    </xf>
    <xf borderId="34" fillId="11" fontId="40" numFmtId="0" xfId="0" applyAlignment="1" applyBorder="1" applyFont="1">
      <alignment shrinkToFit="0" vertical="center" wrapText="0"/>
    </xf>
    <xf borderId="13" fillId="0" fontId="10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readingOrder="0" shrinkToFit="0" wrapText="0"/>
    </xf>
    <xf borderId="36" fillId="11" fontId="10" numFmtId="0" xfId="0" applyBorder="1" applyFont="1"/>
    <xf borderId="33" fillId="0" fontId="4" numFmtId="0" xfId="0" applyAlignment="1" applyBorder="1" applyFont="1">
      <alignment horizontal="center" readingOrder="0" shrinkToFit="0" vertical="center" wrapText="0"/>
    </xf>
    <xf borderId="38" fillId="24" fontId="10" numFmtId="0" xfId="0" applyAlignment="1" applyBorder="1" applyFont="1">
      <alignment vertical="bottom"/>
    </xf>
    <xf borderId="36" fillId="6" fontId="11" numFmtId="164" xfId="0" applyAlignment="1" applyBorder="1" applyFont="1" applyNumberFormat="1">
      <alignment horizontal="center" readingOrder="0" shrinkToFit="0" vertical="bottom" wrapText="0"/>
    </xf>
    <xf borderId="36" fillId="6" fontId="51" numFmtId="0" xfId="0" applyAlignment="1" applyBorder="1" applyFont="1">
      <alignment readingOrder="0" shrinkToFit="0" vertical="bottom" wrapText="0"/>
    </xf>
    <xf borderId="36" fillId="24" fontId="10" numFmtId="49" xfId="0" applyAlignment="1" applyBorder="1" applyFont="1" applyNumberFormat="1">
      <alignment vertical="bottom"/>
    </xf>
    <xf borderId="38" fillId="9" fontId="10" numFmtId="0" xfId="0" applyAlignment="1" applyBorder="1" applyFont="1">
      <alignment readingOrder="0"/>
    </xf>
    <xf borderId="36" fillId="0" fontId="10" numFmtId="164" xfId="0" applyAlignment="1" applyBorder="1" applyFont="1" applyNumberFormat="1">
      <alignment horizontal="center" readingOrder="0" shrinkToFit="0" vertical="bottom" wrapText="0"/>
    </xf>
    <xf borderId="36" fillId="0" fontId="10" numFmtId="0" xfId="0" applyAlignment="1" applyBorder="1" applyFont="1">
      <alignment readingOrder="0" shrinkToFit="0" vertical="bottom" wrapText="0"/>
    </xf>
    <xf borderId="36" fillId="0" fontId="10" numFmtId="49" xfId="0" applyAlignment="1" applyBorder="1" applyFont="1" applyNumberFormat="1">
      <alignment horizontal="center" shrinkToFit="0" vertical="bottom" wrapText="0"/>
    </xf>
    <xf borderId="36" fillId="0" fontId="30" numFmtId="0" xfId="0" applyAlignment="1" applyBorder="1" applyFont="1">
      <alignment horizontal="center" readingOrder="0" shrinkToFit="0" vertical="bottom" wrapText="0"/>
    </xf>
    <xf borderId="26" fillId="11" fontId="4" numFmtId="0" xfId="0" applyAlignment="1" applyBorder="1" applyFont="1">
      <alignment shrinkToFit="0" vertical="center" wrapText="0"/>
    </xf>
    <xf borderId="36" fillId="0" fontId="10" numFmtId="49" xfId="0" applyAlignment="1" applyBorder="1" applyFont="1" applyNumberFormat="1">
      <alignment horizontal="center" readingOrder="0" shrinkToFit="0" vertical="bottom" wrapText="0"/>
    </xf>
    <xf borderId="36" fillId="0" fontId="10" numFmtId="0" xfId="0" applyAlignment="1" applyBorder="1" applyFont="1">
      <alignment horizontal="center" readingOrder="0" shrinkToFit="0" wrapText="0"/>
    </xf>
    <xf borderId="26" fillId="11" fontId="55" numFmtId="0" xfId="0" applyAlignment="1" applyBorder="1" applyFont="1">
      <alignment readingOrder="0" shrinkToFit="0" vertical="center" wrapText="0"/>
    </xf>
    <xf borderId="26" fillId="24" fontId="10" numFmtId="0" xfId="0" applyAlignment="1" applyBorder="1" applyFont="1">
      <alignment vertical="bottom"/>
    </xf>
    <xf borderId="33" fillId="6" fontId="51" numFmtId="0" xfId="0" applyAlignment="1" applyBorder="1" applyFont="1">
      <alignment readingOrder="0" shrinkToFit="0" vertical="bottom" wrapText="0"/>
    </xf>
    <xf borderId="33" fillId="24" fontId="10" numFmtId="49" xfId="0" applyAlignment="1" applyBorder="1" applyFont="1" applyNumberFormat="1">
      <alignment vertical="bottom"/>
    </xf>
    <xf borderId="36" fillId="0" fontId="10" numFmtId="164" xfId="0" applyAlignment="1" applyBorder="1" applyFont="1" applyNumberFormat="1">
      <alignment horizontal="center" readingOrder="0" vertical="bottom"/>
    </xf>
    <xf borderId="36" fillId="0" fontId="10" numFmtId="0" xfId="0" applyAlignment="1" applyBorder="1" applyFont="1">
      <alignment shrinkToFit="0" vertical="bottom" wrapText="0"/>
    </xf>
    <xf borderId="36" fillId="0" fontId="30" numFmtId="0" xfId="0" applyAlignment="1" applyBorder="1" applyFont="1">
      <alignment horizontal="center" shrinkToFit="0" vertical="bottom" wrapText="0"/>
    </xf>
    <xf borderId="36" fillId="0" fontId="10" numFmtId="46" xfId="0" applyBorder="1" applyFont="1" applyNumberFormat="1"/>
    <xf borderId="36" fillId="0" fontId="10" numFmtId="49" xfId="0" applyAlignment="1" applyBorder="1" applyFont="1" applyNumberFormat="1">
      <alignment horizontal="center" shrinkToFit="0" wrapText="0"/>
    </xf>
    <xf borderId="36" fillId="6" fontId="11" numFmtId="164" xfId="0" applyAlignment="1" applyBorder="1" applyFont="1" applyNumberFormat="1">
      <alignment horizontal="center" readingOrder="0" vertical="bottom"/>
    </xf>
    <xf borderId="33" fillId="11" fontId="4" numFmtId="0" xfId="0" applyAlignment="1" applyBorder="1" applyFont="1">
      <alignment readingOrder="0" shrinkToFit="0" vertical="center" wrapText="0"/>
    </xf>
    <xf borderId="36" fillId="13" fontId="10" numFmtId="0" xfId="0" applyAlignment="1" applyBorder="1" applyFont="1">
      <alignment readingOrder="0" shrinkToFit="0" vertical="bottom" wrapText="0"/>
    </xf>
    <xf borderId="36" fillId="0" fontId="10" numFmtId="0" xfId="0" applyAlignment="1" applyBorder="1" applyFont="1">
      <alignment horizontal="center" shrinkToFit="0" wrapText="0"/>
    </xf>
    <xf borderId="10" fillId="13" fontId="4" numFmtId="0" xfId="0" applyAlignment="1" applyBorder="1" applyFont="1">
      <alignment readingOrder="0"/>
    </xf>
    <xf borderId="1" fillId="0" fontId="10" numFmtId="166" xfId="0" applyAlignment="1" applyBorder="1" applyFont="1" applyNumberFormat="1">
      <alignment horizontal="center"/>
    </xf>
    <xf borderId="26" fillId="9" fontId="4" numFmtId="169" xfId="0" applyAlignment="1" applyBorder="1" applyFont="1" applyNumberFormat="1">
      <alignment horizontal="center" shrinkToFit="0" vertical="center" wrapText="0"/>
    </xf>
    <xf borderId="26" fillId="0" fontId="4" numFmtId="49" xfId="0" applyAlignment="1" applyBorder="1" applyFont="1" applyNumberFormat="1">
      <alignment horizontal="center" shrinkToFit="0" vertical="center" wrapText="0"/>
    </xf>
    <xf borderId="26" fillId="0" fontId="4" numFmtId="0" xfId="0" applyAlignment="1" applyBorder="1" applyFont="1">
      <alignment shrinkToFit="0" vertical="center" wrapText="0"/>
    </xf>
    <xf borderId="1" fillId="9" fontId="10" numFmtId="169" xfId="0" applyBorder="1" applyFont="1" applyNumberFormat="1"/>
    <xf borderId="1" fillId="9" fontId="4" numFmtId="169" xfId="0" applyAlignment="1" applyBorder="1" applyFont="1" applyNumberFormat="1">
      <alignment horizontal="center" shrinkToFit="0" vertical="center" wrapText="0"/>
    </xf>
    <xf borderId="38" fillId="9" fontId="4" numFmtId="16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file/d/1KK2PVABMiWH9Q2YvkAvGZHWupVuZUZLm/view?usp=sharing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rive.google.com/drive/u/0/folders/1Nl24ReJczIriZMiIK9hVkzNiR6Xh31J_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rive.google.com/file/d/1KK2PVABMiWH9Q2YvkAvGZHWupVuZUZLm/view?usp=sharing" TargetMode="External"/><Relationship Id="rId3" Type="http://schemas.openxmlformats.org/officeDocument/2006/relationships/hyperlink" Target="https://drive.google.com/drive/folders/1bGucOzke2t6RD8SeN_SywuhCUpWTKrHL" TargetMode="External"/><Relationship Id="rId4" Type="http://schemas.openxmlformats.org/officeDocument/2006/relationships/hyperlink" Target="https://drive.google.com/file/d/1BFbZsUbKBP6MqNopJCVvMsCLQnPio1X6/view?usp=drive_link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9.63"/>
    <col customWidth="1" min="3" max="3" width="35.25"/>
    <col customWidth="1" min="4" max="4" width="37.75"/>
    <col customWidth="1" min="5" max="5" width="65.0"/>
    <col customWidth="1" min="6" max="6" width="46.38"/>
    <col customWidth="1" min="7" max="7" width="60.88"/>
  </cols>
  <sheetData>
    <row r="1">
      <c r="B1" s="1" t="s">
        <v>0</v>
      </c>
      <c r="E1" s="2" t="s">
        <v>1</v>
      </c>
      <c r="F1" s="3" t="s">
        <v>2</v>
      </c>
      <c r="G1" s="4" t="s">
        <v>3</v>
      </c>
    </row>
    <row r="2">
      <c r="B2" s="5" t="s">
        <v>4</v>
      </c>
      <c r="C2" s="6" t="s">
        <v>5</v>
      </c>
      <c r="D2" s="7" t="s">
        <v>6</v>
      </c>
      <c r="E2" s="8" t="s">
        <v>7</v>
      </c>
      <c r="F2" s="9"/>
      <c r="G2" s="10" t="s">
        <v>8</v>
      </c>
    </row>
    <row r="3">
      <c r="B3" s="5"/>
      <c r="C3" s="6"/>
      <c r="D3" s="7" t="s">
        <v>9</v>
      </c>
      <c r="E3" s="8" t="s">
        <v>10</v>
      </c>
      <c r="F3" s="9"/>
    </row>
    <row r="4">
      <c r="B4" s="5"/>
      <c r="C4" s="6"/>
      <c r="D4" s="7"/>
      <c r="E4" s="8" t="s">
        <v>11</v>
      </c>
      <c r="F4" s="9" t="s">
        <v>12</v>
      </c>
    </row>
    <row r="5">
      <c r="B5" s="11" t="s">
        <v>13</v>
      </c>
      <c r="C5" s="12" t="s">
        <v>14</v>
      </c>
      <c r="D5" s="13" t="s">
        <v>15</v>
      </c>
      <c r="E5" s="8"/>
      <c r="F5" s="9"/>
    </row>
    <row r="6">
      <c r="B6" s="14"/>
      <c r="C6" s="15" t="s">
        <v>16</v>
      </c>
      <c r="D6" s="16" t="s">
        <v>17</v>
      </c>
      <c r="E6" s="8" t="s">
        <v>18</v>
      </c>
      <c r="F6" s="17"/>
    </row>
    <row r="7">
      <c r="B7" s="18"/>
      <c r="C7" s="15" t="s">
        <v>16</v>
      </c>
      <c r="D7" s="16" t="s">
        <v>19</v>
      </c>
      <c r="E7" s="8" t="s">
        <v>20</v>
      </c>
      <c r="F7" s="17" t="s">
        <v>21</v>
      </c>
    </row>
    <row r="8">
      <c r="B8" s="18"/>
      <c r="C8" s="15" t="s">
        <v>16</v>
      </c>
      <c r="D8" s="16" t="s">
        <v>22</v>
      </c>
      <c r="E8" s="8" t="s">
        <v>23</v>
      </c>
      <c r="F8" s="17"/>
    </row>
    <row r="9">
      <c r="B9" s="18"/>
      <c r="C9" s="15" t="s">
        <v>16</v>
      </c>
      <c r="D9" s="16" t="s">
        <v>24</v>
      </c>
      <c r="E9" s="8" t="s">
        <v>25</v>
      </c>
      <c r="F9" s="17"/>
    </row>
    <row r="10">
      <c r="B10" s="18"/>
      <c r="C10" s="15" t="s">
        <v>16</v>
      </c>
      <c r="D10" s="16" t="s">
        <v>26</v>
      </c>
      <c r="E10" s="8" t="s">
        <v>27</v>
      </c>
      <c r="F10" s="17"/>
    </row>
    <row r="11">
      <c r="B11" s="18"/>
      <c r="C11" s="15" t="s">
        <v>16</v>
      </c>
      <c r="D11" s="16" t="s">
        <v>28</v>
      </c>
      <c r="E11" s="8" t="s">
        <v>29</v>
      </c>
      <c r="F11" s="17"/>
    </row>
    <row r="12">
      <c r="B12" s="18"/>
      <c r="C12" s="15" t="s">
        <v>30</v>
      </c>
      <c r="D12" s="16" t="s">
        <v>31</v>
      </c>
      <c r="E12" s="19" t="s">
        <v>32</v>
      </c>
      <c r="F12" s="17"/>
    </row>
    <row r="13">
      <c r="B13" s="18"/>
      <c r="C13" s="15" t="s">
        <v>30</v>
      </c>
      <c r="D13" s="16" t="s">
        <v>33</v>
      </c>
      <c r="E13" s="8" t="s">
        <v>34</v>
      </c>
      <c r="F13" s="17" t="s">
        <v>35</v>
      </c>
    </row>
    <row r="14">
      <c r="B14" s="18"/>
      <c r="C14" s="15" t="s">
        <v>30</v>
      </c>
      <c r="D14" s="16" t="s">
        <v>36</v>
      </c>
      <c r="E14" s="8" t="s">
        <v>37</v>
      </c>
      <c r="F14" s="17"/>
    </row>
    <row r="15">
      <c r="B15" s="18"/>
      <c r="C15" s="15" t="s">
        <v>30</v>
      </c>
      <c r="D15" s="16" t="s">
        <v>38</v>
      </c>
      <c r="E15" s="8" t="s">
        <v>39</v>
      </c>
      <c r="F15" s="17"/>
    </row>
    <row r="16">
      <c r="B16" s="20" t="s">
        <v>40</v>
      </c>
      <c r="C16" s="12" t="s">
        <v>41</v>
      </c>
      <c r="D16" s="13"/>
      <c r="E16" s="21"/>
      <c r="F16" s="9"/>
    </row>
    <row r="17">
      <c r="B17" s="18"/>
      <c r="C17" s="15"/>
      <c r="D17" s="22" t="s">
        <v>42</v>
      </c>
      <c r="E17" s="8" t="s">
        <v>43</v>
      </c>
      <c r="F17" s="17" t="s">
        <v>44</v>
      </c>
    </row>
    <row r="18">
      <c r="B18" s="18"/>
      <c r="C18" s="23"/>
      <c r="D18" s="24" t="s">
        <v>45</v>
      </c>
      <c r="E18" s="8" t="s">
        <v>46</v>
      </c>
      <c r="F18" s="25"/>
    </row>
    <row r="19">
      <c r="B19" s="18"/>
      <c r="C19" s="15"/>
      <c r="D19" s="16" t="s">
        <v>47</v>
      </c>
      <c r="E19" s="8" t="s">
        <v>48</v>
      </c>
      <c r="F19" s="26" t="s">
        <v>49</v>
      </c>
    </row>
    <row r="20">
      <c r="B20" s="20" t="s">
        <v>50</v>
      </c>
      <c r="C20" s="12" t="s">
        <v>51</v>
      </c>
      <c r="D20" s="13"/>
      <c r="E20" s="21"/>
      <c r="F20" s="9"/>
    </row>
    <row r="21">
      <c r="B21" s="18"/>
      <c r="C21" s="23"/>
      <c r="D21" s="27" t="s">
        <v>52</v>
      </c>
      <c r="E21" s="8" t="s">
        <v>53</v>
      </c>
      <c r="F21" s="25"/>
    </row>
    <row r="22">
      <c r="B22" s="18"/>
      <c r="C22" s="15"/>
      <c r="D22" s="16" t="s">
        <v>54</v>
      </c>
      <c r="E22" s="8" t="s">
        <v>55</v>
      </c>
      <c r="F22" s="17"/>
    </row>
    <row r="23">
      <c r="B23" s="18"/>
      <c r="C23" s="15"/>
      <c r="D23" s="16" t="s">
        <v>56</v>
      </c>
      <c r="E23" s="8" t="s">
        <v>57</v>
      </c>
      <c r="F23" s="17"/>
    </row>
    <row r="24">
      <c r="B24" s="18"/>
      <c r="C24" s="23"/>
      <c r="D24" s="27" t="s">
        <v>58</v>
      </c>
      <c r="E24" s="8" t="s">
        <v>59</v>
      </c>
      <c r="F24" s="25"/>
    </row>
    <row r="25">
      <c r="B25" s="20" t="s">
        <v>60</v>
      </c>
      <c r="C25" s="12" t="s">
        <v>61</v>
      </c>
      <c r="D25" s="13"/>
      <c r="E25" s="21"/>
      <c r="F25" s="9"/>
    </row>
    <row r="26">
      <c r="B26" s="18"/>
      <c r="C26" s="15"/>
      <c r="D26" s="16" t="s">
        <v>62</v>
      </c>
      <c r="E26" s="8" t="s">
        <v>63</v>
      </c>
      <c r="F26" s="17"/>
    </row>
    <row r="27">
      <c r="B27" s="18"/>
      <c r="C27" s="23"/>
      <c r="D27" s="28" t="s">
        <v>64</v>
      </c>
      <c r="E27" s="8" t="s">
        <v>65</v>
      </c>
      <c r="F27" s="25"/>
    </row>
    <row r="28">
      <c r="B28" s="18"/>
      <c r="C28" s="15" t="s">
        <v>66</v>
      </c>
      <c r="D28" s="16" t="s">
        <v>67</v>
      </c>
      <c r="E28" s="8" t="s">
        <v>68</v>
      </c>
      <c r="F28" s="17"/>
    </row>
    <row r="29">
      <c r="B29" s="18"/>
      <c r="C29" s="15" t="s">
        <v>69</v>
      </c>
      <c r="D29" s="16" t="s">
        <v>70</v>
      </c>
      <c r="E29" s="8" t="s">
        <v>71</v>
      </c>
      <c r="F29" s="17"/>
    </row>
    <row r="30">
      <c r="B30" s="18"/>
      <c r="C30" s="15" t="s">
        <v>72</v>
      </c>
      <c r="D30" s="16" t="s">
        <v>73</v>
      </c>
      <c r="E30" s="8" t="s">
        <v>74</v>
      </c>
      <c r="F30" s="17"/>
    </row>
    <row r="31">
      <c r="B31" s="18"/>
      <c r="C31" s="15"/>
      <c r="D31" s="16" t="s">
        <v>75</v>
      </c>
      <c r="E31" s="19" t="s">
        <v>76</v>
      </c>
      <c r="F31" s="17"/>
    </row>
    <row r="32">
      <c r="B32" s="18"/>
      <c r="C32" s="15"/>
      <c r="D32" s="16" t="s">
        <v>77</v>
      </c>
      <c r="E32" s="8" t="s">
        <v>78</v>
      </c>
      <c r="F32" s="17"/>
    </row>
    <row r="33">
      <c r="B33" s="20" t="s">
        <v>79</v>
      </c>
      <c r="C33" s="12" t="s">
        <v>80</v>
      </c>
      <c r="D33" s="13"/>
      <c r="E33" s="21"/>
      <c r="F33" s="9"/>
    </row>
    <row r="34">
      <c r="B34" s="18"/>
      <c r="C34" s="15"/>
      <c r="D34" s="16" t="s">
        <v>81</v>
      </c>
      <c r="E34" s="8" t="s">
        <v>82</v>
      </c>
      <c r="F34" s="17"/>
    </row>
    <row r="35">
      <c r="B35" s="18"/>
      <c r="C35" s="15"/>
      <c r="D35" s="16" t="s">
        <v>83</v>
      </c>
      <c r="E35" s="8" t="s">
        <v>84</v>
      </c>
      <c r="F35" s="17" t="s">
        <v>85</v>
      </c>
    </row>
    <row r="36">
      <c r="B36" s="18"/>
      <c r="C36" s="15"/>
      <c r="D36" s="16" t="s">
        <v>86</v>
      </c>
      <c r="E36" s="8" t="s">
        <v>87</v>
      </c>
      <c r="F36" s="17"/>
    </row>
    <row r="37">
      <c r="B37" s="18"/>
      <c r="C37" s="15"/>
      <c r="D37" s="16" t="s">
        <v>88</v>
      </c>
      <c r="E37" s="8" t="s">
        <v>89</v>
      </c>
      <c r="F37" s="17"/>
    </row>
    <row r="38">
      <c r="B38" s="18"/>
      <c r="C38" s="15"/>
      <c r="D38" s="22" t="s">
        <v>90</v>
      </c>
      <c r="E38" s="29" t="s">
        <v>91</v>
      </c>
      <c r="F38" s="8" t="s">
        <v>92</v>
      </c>
    </row>
    <row r="39">
      <c r="B39" s="18"/>
      <c r="C39" s="15"/>
      <c r="D39" s="30" t="s">
        <v>93</v>
      </c>
      <c r="E39" s="8" t="s">
        <v>94</v>
      </c>
      <c r="F39" s="17"/>
    </row>
    <row r="40">
      <c r="B40" s="20" t="s">
        <v>95</v>
      </c>
      <c r="C40" s="12" t="s">
        <v>96</v>
      </c>
      <c r="D40" s="13"/>
      <c r="E40" s="21"/>
      <c r="F40" s="9"/>
    </row>
    <row r="41">
      <c r="B41" s="18"/>
      <c r="C41" s="15" t="s">
        <v>16</v>
      </c>
      <c r="D41" s="16" t="s">
        <v>97</v>
      </c>
      <c r="E41" s="8" t="s">
        <v>98</v>
      </c>
      <c r="F41" s="17" t="s">
        <v>99</v>
      </c>
    </row>
    <row r="42">
      <c r="B42" s="18"/>
      <c r="C42" s="15" t="s">
        <v>16</v>
      </c>
      <c r="D42" s="16" t="s">
        <v>100</v>
      </c>
      <c r="E42" s="8" t="s">
        <v>101</v>
      </c>
      <c r="F42" s="17"/>
    </row>
    <row r="43">
      <c r="B43" s="18"/>
      <c r="C43" s="15" t="s">
        <v>16</v>
      </c>
      <c r="D43" s="16" t="s">
        <v>102</v>
      </c>
      <c r="E43" s="8" t="s">
        <v>103</v>
      </c>
      <c r="F43" s="17"/>
    </row>
    <row r="44">
      <c r="B44" s="18"/>
      <c r="C44" s="15" t="s">
        <v>16</v>
      </c>
      <c r="D44" s="16" t="s">
        <v>104</v>
      </c>
      <c r="E44" s="8" t="s">
        <v>105</v>
      </c>
      <c r="F44" s="17"/>
    </row>
    <row r="45">
      <c r="B45" s="18"/>
      <c r="C45" s="15" t="s">
        <v>106</v>
      </c>
      <c r="D45" s="16" t="s">
        <v>107</v>
      </c>
      <c r="E45" s="8" t="s">
        <v>108</v>
      </c>
      <c r="F45" s="17"/>
    </row>
    <row r="46">
      <c r="B46" s="18"/>
      <c r="C46" s="15" t="s">
        <v>106</v>
      </c>
      <c r="D46" s="16" t="s">
        <v>109</v>
      </c>
      <c r="E46" s="8" t="s">
        <v>110</v>
      </c>
      <c r="F46" s="17"/>
    </row>
    <row r="47">
      <c r="B47" s="18"/>
      <c r="C47" s="15" t="s">
        <v>106</v>
      </c>
      <c r="D47" s="16" t="s">
        <v>111</v>
      </c>
      <c r="E47" s="8" t="s">
        <v>112</v>
      </c>
      <c r="F47" s="17"/>
    </row>
    <row r="48">
      <c r="D48" s="31"/>
      <c r="E48" s="21"/>
      <c r="F48" s="31"/>
    </row>
    <row r="49">
      <c r="D49" s="29" t="s">
        <v>113</v>
      </c>
      <c r="E49" s="21"/>
      <c r="F49" s="31"/>
    </row>
    <row r="50">
      <c r="D50" s="31"/>
      <c r="E50" s="21"/>
      <c r="F50" s="31"/>
    </row>
    <row r="51">
      <c r="D51" s="31"/>
      <c r="E51" s="21"/>
      <c r="F51" s="31"/>
    </row>
    <row r="52">
      <c r="D52" s="31"/>
      <c r="E52" s="21"/>
      <c r="F52" s="31"/>
    </row>
    <row r="53">
      <c r="D53" s="31"/>
      <c r="E53" s="21"/>
      <c r="F53" s="31"/>
    </row>
    <row r="54">
      <c r="D54" s="31"/>
      <c r="E54" s="21"/>
      <c r="F54" s="31"/>
    </row>
    <row r="55">
      <c r="D55" s="31"/>
      <c r="E55" s="21"/>
      <c r="F55" s="31"/>
    </row>
    <row r="56">
      <c r="D56" s="31"/>
      <c r="E56" s="21"/>
      <c r="F56" s="31"/>
    </row>
    <row r="57">
      <c r="D57" s="31"/>
      <c r="E57" s="21"/>
      <c r="F57" s="31"/>
    </row>
    <row r="58">
      <c r="D58" s="31"/>
      <c r="E58" s="21"/>
      <c r="F58" s="31"/>
    </row>
    <row r="59">
      <c r="D59" s="31"/>
      <c r="E59" s="21"/>
      <c r="F59" s="31"/>
    </row>
    <row r="60">
      <c r="D60" s="31"/>
      <c r="E60" s="21"/>
      <c r="F60" s="31"/>
    </row>
    <row r="61">
      <c r="D61" s="31"/>
      <c r="E61" s="21"/>
      <c r="F61" s="31"/>
    </row>
    <row r="62">
      <c r="D62" s="31"/>
      <c r="E62" s="21"/>
      <c r="F62" s="31"/>
    </row>
    <row r="63">
      <c r="D63" s="31"/>
      <c r="E63" s="21"/>
      <c r="F63" s="31"/>
    </row>
    <row r="64">
      <c r="D64" s="31"/>
      <c r="E64" s="21"/>
      <c r="F64" s="31"/>
    </row>
    <row r="65">
      <c r="D65" s="31"/>
      <c r="E65" s="21"/>
      <c r="F65" s="31"/>
    </row>
    <row r="66">
      <c r="D66" s="31"/>
      <c r="E66" s="21"/>
      <c r="F66" s="31"/>
    </row>
    <row r="67">
      <c r="D67" s="31"/>
      <c r="E67" s="21"/>
      <c r="F67" s="31"/>
    </row>
    <row r="68">
      <c r="D68" s="31"/>
      <c r="E68" s="21"/>
      <c r="F68" s="31"/>
    </row>
    <row r="69">
      <c r="D69" s="31"/>
      <c r="E69" s="21"/>
      <c r="F69" s="31"/>
    </row>
    <row r="70">
      <c r="D70" s="31"/>
      <c r="E70" s="21"/>
      <c r="F70" s="31"/>
    </row>
    <row r="71">
      <c r="D71" s="31"/>
      <c r="E71" s="21"/>
      <c r="F71" s="31"/>
    </row>
    <row r="72">
      <c r="D72" s="31"/>
      <c r="E72" s="21"/>
      <c r="F72" s="31"/>
    </row>
    <row r="73">
      <c r="D73" s="31"/>
      <c r="E73" s="21"/>
      <c r="F73" s="31"/>
    </row>
    <row r="74">
      <c r="D74" s="31"/>
      <c r="E74" s="21"/>
      <c r="F74" s="31"/>
    </row>
    <row r="75">
      <c r="D75" s="31"/>
      <c r="E75" s="21"/>
      <c r="F75" s="31"/>
    </row>
    <row r="76">
      <c r="D76" s="31"/>
      <c r="E76" s="21"/>
      <c r="F76" s="31"/>
    </row>
    <row r="77">
      <c r="D77" s="31"/>
      <c r="E77" s="21"/>
      <c r="F77" s="31"/>
    </row>
    <row r="78">
      <c r="D78" s="31"/>
      <c r="E78" s="21"/>
      <c r="F78" s="31"/>
    </row>
    <row r="79">
      <c r="D79" s="31"/>
      <c r="E79" s="21"/>
      <c r="F79" s="31"/>
    </row>
    <row r="80">
      <c r="D80" s="31"/>
      <c r="E80" s="21"/>
      <c r="F80" s="31"/>
    </row>
    <row r="81">
      <c r="D81" s="31"/>
      <c r="E81" s="21"/>
      <c r="F81" s="31"/>
    </row>
    <row r="82">
      <c r="D82" s="31"/>
      <c r="E82" s="21"/>
      <c r="F82" s="31"/>
    </row>
    <row r="83">
      <c r="D83" s="31"/>
      <c r="E83" s="21"/>
      <c r="F83" s="31"/>
    </row>
    <row r="84">
      <c r="D84" s="31"/>
      <c r="E84" s="21"/>
      <c r="F84" s="31"/>
    </row>
    <row r="85">
      <c r="D85" s="31"/>
      <c r="E85" s="21"/>
      <c r="F85" s="31"/>
    </row>
    <row r="86">
      <c r="D86" s="31"/>
      <c r="E86" s="21"/>
      <c r="F86" s="31"/>
    </row>
    <row r="87">
      <c r="D87" s="31"/>
      <c r="E87" s="21"/>
      <c r="F87" s="31"/>
    </row>
    <row r="88">
      <c r="D88" s="31"/>
      <c r="E88" s="21"/>
      <c r="F88" s="31"/>
    </row>
    <row r="89">
      <c r="D89" s="31"/>
      <c r="E89" s="21"/>
      <c r="F89" s="31"/>
    </row>
    <row r="90">
      <c r="D90" s="31"/>
      <c r="E90" s="21"/>
      <c r="F90" s="31"/>
    </row>
    <row r="91">
      <c r="D91" s="31"/>
      <c r="E91" s="21"/>
      <c r="F91" s="31"/>
    </row>
    <row r="92">
      <c r="D92" s="31"/>
      <c r="E92" s="21"/>
      <c r="F92" s="31"/>
    </row>
    <row r="93">
      <c r="D93" s="31"/>
      <c r="E93" s="21"/>
      <c r="F93" s="31"/>
    </row>
    <row r="94">
      <c r="D94" s="31"/>
      <c r="E94" s="21"/>
      <c r="F94" s="31"/>
    </row>
    <row r="95">
      <c r="D95" s="31"/>
      <c r="E95" s="21"/>
      <c r="F95" s="31"/>
    </row>
    <row r="96">
      <c r="D96" s="31"/>
      <c r="E96" s="21"/>
      <c r="F96" s="31"/>
    </row>
    <row r="97">
      <c r="D97" s="31"/>
      <c r="E97" s="21"/>
      <c r="F97" s="31"/>
    </row>
    <row r="98">
      <c r="D98" s="31"/>
      <c r="E98" s="21"/>
      <c r="F98" s="31"/>
    </row>
    <row r="99">
      <c r="D99" s="31"/>
      <c r="E99" s="21"/>
      <c r="F99" s="31"/>
    </row>
    <row r="100">
      <c r="D100" s="31"/>
      <c r="E100" s="21"/>
      <c r="F100" s="31"/>
    </row>
    <row r="101">
      <c r="D101" s="31"/>
      <c r="E101" s="21"/>
      <c r="F101" s="31"/>
    </row>
    <row r="102">
      <c r="D102" s="31"/>
      <c r="E102" s="21"/>
      <c r="F102" s="31"/>
    </row>
    <row r="103">
      <c r="D103" s="31"/>
      <c r="E103" s="21"/>
      <c r="F103" s="31"/>
    </row>
    <row r="104">
      <c r="D104" s="31"/>
      <c r="E104" s="21"/>
      <c r="F104" s="31"/>
    </row>
    <row r="105">
      <c r="D105" s="31"/>
      <c r="E105" s="21"/>
      <c r="F105" s="31"/>
    </row>
    <row r="106">
      <c r="D106" s="31"/>
      <c r="E106" s="21"/>
      <c r="F106" s="31"/>
    </row>
    <row r="107">
      <c r="D107" s="31"/>
      <c r="E107" s="21"/>
      <c r="F107" s="31"/>
    </row>
    <row r="108">
      <c r="D108" s="31"/>
      <c r="E108" s="21"/>
      <c r="F108" s="31"/>
    </row>
    <row r="109">
      <c r="D109" s="31"/>
      <c r="E109" s="21"/>
      <c r="F109" s="31"/>
    </row>
    <row r="110">
      <c r="D110" s="31"/>
      <c r="E110" s="21"/>
      <c r="F110" s="31"/>
    </row>
    <row r="111">
      <c r="D111" s="31"/>
      <c r="E111" s="21"/>
      <c r="F111" s="31"/>
    </row>
    <row r="112">
      <c r="D112" s="31"/>
      <c r="E112" s="21"/>
      <c r="F112" s="31"/>
    </row>
    <row r="113">
      <c r="D113" s="31"/>
      <c r="E113" s="21"/>
      <c r="F113" s="31"/>
    </row>
    <row r="114">
      <c r="D114" s="31"/>
      <c r="E114" s="21"/>
      <c r="F114" s="31"/>
    </row>
    <row r="115">
      <c r="D115" s="31"/>
      <c r="E115" s="21"/>
      <c r="F115" s="31"/>
    </row>
    <row r="116">
      <c r="D116" s="31"/>
      <c r="E116" s="21"/>
      <c r="F116" s="31"/>
    </row>
    <row r="117">
      <c r="D117" s="31"/>
      <c r="E117" s="21"/>
      <c r="F117" s="31"/>
    </row>
    <row r="118">
      <c r="D118" s="31"/>
      <c r="E118" s="21"/>
      <c r="F118" s="31"/>
    </row>
    <row r="119">
      <c r="D119" s="31"/>
      <c r="E119" s="21"/>
      <c r="F119" s="31"/>
    </row>
    <row r="120">
      <c r="D120" s="31"/>
      <c r="E120" s="21"/>
      <c r="F120" s="31"/>
    </row>
    <row r="121">
      <c r="D121" s="31"/>
      <c r="E121" s="21"/>
      <c r="F121" s="31"/>
    </row>
    <row r="122">
      <c r="D122" s="31"/>
      <c r="E122" s="21"/>
      <c r="F122" s="31"/>
    </row>
    <row r="123">
      <c r="D123" s="31"/>
      <c r="E123" s="21"/>
      <c r="F123" s="31"/>
    </row>
    <row r="124">
      <c r="D124" s="31"/>
      <c r="E124" s="21"/>
      <c r="F124" s="31"/>
    </row>
    <row r="125">
      <c r="D125" s="31"/>
      <c r="E125" s="21"/>
      <c r="F125" s="31"/>
    </row>
    <row r="126">
      <c r="D126" s="31"/>
      <c r="E126" s="21"/>
      <c r="F126" s="31"/>
    </row>
    <row r="127">
      <c r="D127" s="31"/>
      <c r="E127" s="21"/>
      <c r="F127" s="31"/>
    </row>
    <row r="128">
      <c r="D128" s="31"/>
      <c r="E128" s="21"/>
      <c r="F128" s="31"/>
    </row>
    <row r="129">
      <c r="D129" s="31"/>
      <c r="E129" s="21"/>
      <c r="F129" s="31"/>
    </row>
    <row r="130">
      <c r="D130" s="31"/>
      <c r="E130" s="21"/>
      <c r="F130" s="31"/>
    </row>
    <row r="131">
      <c r="D131" s="31"/>
      <c r="E131" s="21"/>
      <c r="F131" s="31"/>
    </row>
    <row r="132">
      <c r="D132" s="31"/>
      <c r="E132" s="21"/>
      <c r="F132" s="31"/>
    </row>
    <row r="133">
      <c r="D133" s="31"/>
      <c r="E133" s="21"/>
      <c r="F133" s="31"/>
    </row>
    <row r="134">
      <c r="D134" s="31"/>
      <c r="E134" s="21"/>
      <c r="F134" s="31"/>
    </row>
    <row r="135">
      <c r="D135" s="31"/>
      <c r="E135" s="21"/>
      <c r="F135" s="31"/>
    </row>
    <row r="136">
      <c r="D136" s="31"/>
      <c r="E136" s="21"/>
      <c r="F136" s="31"/>
    </row>
    <row r="137">
      <c r="D137" s="31"/>
      <c r="E137" s="21"/>
      <c r="F137" s="31"/>
    </row>
    <row r="138">
      <c r="D138" s="31"/>
      <c r="E138" s="21"/>
      <c r="F138" s="31"/>
    </row>
    <row r="139">
      <c r="D139" s="31"/>
      <c r="E139" s="21"/>
      <c r="F139" s="31"/>
    </row>
    <row r="140">
      <c r="D140" s="31"/>
      <c r="E140" s="21"/>
      <c r="F140" s="31"/>
    </row>
    <row r="141">
      <c r="D141" s="31"/>
      <c r="E141" s="21"/>
      <c r="F141" s="31"/>
    </row>
    <row r="142">
      <c r="D142" s="31"/>
      <c r="E142" s="21"/>
      <c r="F142" s="31"/>
    </row>
    <row r="143">
      <c r="D143" s="31"/>
      <c r="E143" s="21"/>
      <c r="F143" s="31"/>
    </row>
    <row r="144">
      <c r="D144" s="31"/>
      <c r="E144" s="21"/>
      <c r="F144" s="31"/>
    </row>
    <row r="145">
      <c r="D145" s="31"/>
      <c r="E145" s="21"/>
      <c r="F145" s="31"/>
    </row>
    <row r="146">
      <c r="D146" s="31"/>
      <c r="E146" s="21"/>
      <c r="F146" s="31"/>
    </row>
    <row r="147">
      <c r="D147" s="31"/>
      <c r="E147" s="21"/>
      <c r="F147" s="31"/>
    </row>
    <row r="148">
      <c r="D148" s="31"/>
      <c r="E148" s="21"/>
      <c r="F148" s="31"/>
    </row>
    <row r="149">
      <c r="D149" s="31"/>
      <c r="E149" s="21"/>
      <c r="F149" s="31"/>
    </row>
    <row r="150">
      <c r="D150" s="31"/>
      <c r="E150" s="21"/>
      <c r="F150" s="31"/>
    </row>
    <row r="151">
      <c r="D151" s="31"/>
      <c r="E151" s="21"/>
      <c r="F151" s="31"/>
    </row>
    <row r="152">
      <c r="D152" s="31"/>
      <c r="E152" s="21"/>
      <c r="F152" s="31"/>
    </row>
    <row r="153">
      <c r="D153" s="31"/>
      <c r="E153" s="21"/>
      <c r="F153" s="31"/>
    </row>
    <row r="154">
      <c r="D154" s="31"/>
      <c r="E154" s="21"/>
      <c r="F154" s="31"/>
    </row>
    <row r="155">
      <c r="D155" s="31"/>
      <c r="E155" s="21"/>
      <c r="F155" s="31"/>
    </row>
    <row r="156">
      <c r="D156" s="31"/>
      <c r="E156" s="21"/>
      <c r="F156" s="31"/>
    </row>
    <row r="157">
      <c r="D157" s="31"/>
      <c r="E157" s="21"/>
      <c r="F157" s="31"/>
    </row>
    <row r="158">
      <c r="D158" s="31"/>
      <c r="E158" s="21"/>
      <c r="F158" s="31"/>
    </row>
    <row r="159">
      <c r="D159" s="31"/>
      <c r="E159" s="21"/>
      <c r="F159" s="31"/>
    </row>
    <row r="160">
      <c r="D160" s="31"/>
      <c r="E160" s="21"/>
      <c r="F160" s="31"/>
    </row>
    <row r="161">
      <c r="D161" s="31"/>
      <c r="E161" s="21"/>
      <c r="F161" s="31"/>
    </row>
    <row r="162">
      <c r="D162" s="31"/>
      <c r="E162" s="21"/>
      <c r="F162" s="31"/>
    </row>
    <row r="163">
      <c r="D163" s="31"/>
      <c r="E163" s="21"/>
      <c r="F163" s="31"/>
    </row>
    <row r="164">
      <c r="D164" s="31"/>
      <c r="E164" s="21"/>
      <c r="F164" s="31"/>
    </row>
    <row r="165">
      <c r="D165" s="31"/>
      <c r="E165" s="21"/>
      <c r="F165" s="31"/>
    </row>
    <row r="166">
      <c r="D166" s="31"/>
      <c r="E166" s="21"/>
      <c r="F166" s="31"/>
    </row>
    <row r="167">
      <c r="D167" s="31"/>
      <c r="E167" s="21"/>
      <c r="F167" s="31"/>
    </row>
    <row r="168">
      <c r="D168" s="31"/>
      <c r="E168" s="21"/>
      <c r="F168" s="31"/>
    </row>
    <row r="169">
      <c r="D169" s="31"/>
      <c r="E169" s="21"/>
      <c r="F169" s="31"/>
    </row>
    <row r="170">
      <c r="D170" s="31"/>
      <c r="E170" s="21"/>
      <c r="F170" s="31"/>
    </row>
    <row r="171">
      <c r="D171" s="31"/>
      <c r="E171" s="21"/>
      <c r="F171" s="31"/>
    </row>
    <row r="172">
      <c r="D172" s="31"/>
      <c r="E172" s="21"/>
      <c r="F172" s="31"/>
    </row>
    <row r="173">
      <c r="D173" s="31"/>
      <c r="E173" s="21"/>
      <c r="F173" s="31"/>
    </row>
    <row r="174">
      <c r="D174" s="31"/>
      <c r="E174" s="21"/>
      <c r="F174" s="31"/>
    </row>
    <row r="175">
      <c r="D175" s="31"/>
      <c r="E175" s="21"/>
      <c r="F175" s="31"/>
    </row>
    <row r="176">
      <c r="D176" s="31"/>
      <c r="E176" s="21"/>
      <c r="F176" s="31"/>
    </row>
    <row r="177">
      <c r="D177" s="31"/>
      <c r="E177" s="21"/>
      <c r="F177" s="31"/>
    </row>
    <row r="178">
      <c r="D178" s="31"/>
      <c r="E178" s="21"/>
      <c r="F178" s="31"/>
    </row>
    <row r="179">
      <c r="D179" s="31"/>
      <c r="E179" s="21"/>
      <c r="F179" s="31"/>
    </row>
    <row r="180">
      <c r="D180" s="31"/>
      <c r="E180" s="21"/>
      <c r="F180" s="31"/>
    </row>
    <row r="181">
      <c r="D181" s="31"/>
      <c r="E181" s="21"/>
      <c r="F181" s="31"/>
    </row>
    <row r="182">
      <c r="D182" s="31"/>
      <c r="E182" s="21"/>
      <c r="F182" s="31"/>
    </row>
    <row r="183">
      <c r="D183" s="31"/>
      <c r="E183" s="21"/>
      <c r="F183" s="31"/>
    </row>
    <row r="184">
      <c r="D184" s="31"/>
      <c r="E184" s="21"/>
      <c r="F184" s="31"/>
    </row>
    <row r="185">
      <c r="D185" s="31"/>
      <c r="E185" s="21"/>
      <c r="F185" s="31"/>
    </row>
    <row r="186">
      <c r="D186" s="31"/>
      <c r="E186" s="21"/>
      <c r="F186" s="31"/>
    </row>
    <row r="187">
      <c r="D187" s="31"/>
      <c r="E187" s="21"/>
      <c r="F187" s="31"/>
    </row>
    <row r="188">
      <c r="D188" s="31"/>
      <c r="E188" s="21"/>
      <c r="F188" s="31"/>
    </row>
    <row r="189">
      <c r="D189" s="31"/>
      <c r="E189" s="21"/>
      <c r="F189" s="31"/>
    </row>
    <row r="190">
      <c r="D190" s="31"/>
      <c r="E190" s="21"/>
      <c r="F190" s="31"/>
    </row>
    <row r="191">
      <c r="D191" s="31"/>
      <c r="E191" s="21"/>
      <c r="F191" s="31"/>
    </row>
    <row r="192">
      <c r="D192" s="31"/>
      <c r="E192" s="21"/>
      <c r="F192" s="31"/>
    </row>
    <row r="193">
      <c r="D193" s="31"/>
      <c r="E193" s="21"/>
      <c r="F193" s="31"/>
    </row>
    <row r="194">
      <c r="D194" s="31"/>
      <c r="E194" s="21"/>
      <c r="F194" s="31"/>
    </row>
    <row r="195">
      <c r="D195" s="31"/>
      <c r="E195" s="21"/>
      <c r="F195" s="31"/>
    </row>
    <row r="196">
      <c r="D196" s="31"/>
      <c r="E196" s="21"/>
      <c r="F196" s="31"/>
    </row>
    <row r="197">
      <c r="D197" s="31"/>
      <c r="E197" s="21"/>
      <c r="F197" s="31"/>
    </row>
    <row r="198">
      <c r="D198" s="31"/>
      <c r="E198" s="21"/>
      <c r="F198" s="31"/>
    </row>
    <row r="199">
      <c r="D199" s="31"/>
      <c r="E199" s="21"/>
      <c r="F199" s="31"/>
    </row>
    <row r="200">
      <c r="D200" s="31"/>
      <c r="E200" s="21"/>
      <c r="F200" s="31"/>
    </row>
    <row r="201">
      <c r="D201" s="31"/>
      <c r="E201" s="21"/>
      <c r="F201" s="31"/>
    </row>
    <row r="202">
      <c r="D202" s="31"/>
      <c r="E202" s="21"/>
      <c r="F202" s="31"/>
    </row>
    <row r="203">
      <c r="D203" s="31"/>
      <c r="E203" s="21"/>
      <c r="F203" s="31"/>
    </row>
    <row r="204">
      <c r="D204" s="31"/>
      <c r="E204" s="21"/>
      <c r="F204" s="31"/>
    </row>
    <row r="205">
      <c r="D205" s="31"/>
      <c r="E205" s="21"/>
      <c r="F205" s="31"/>
    </row>
    <row r="206">
      <c r="D206" s="31"/>
      <c r="E206" s="21"/>
      <c r="F206" s="31"/>
    </row>
    <row r="207">
      <c r="D207" s="31"/>
      <c r="E207" s="21"/>
      <c r="F207" s="31"/>
    </row>
    <row r="208">
      <c r="D208" s="31"/>
      <c r="E208" s="21"/>
      <c r="F208" s="31"/>
    </row>
    <row r="209">
      <c r="D209" s="31"/>
      <c r="E209" s="21"/>
      <c r="F209" s="31"/>
    </row>
    <row r="210">
      <c r="D210" s="31"/>
      <c r="E210" s="21"/>
      <c r="F210" s="31"/>
    </row>
    <row r="211">
      <c r="D211" s="31"/>
      <c r="E211" s="21"/>
      <c r="F211" s="31"/>
    </row>
    <row r="212">
      <c r="D212" s="31"/>
      <c r="E212" s="21"/>
      <c r="F212" s="31"/>
    </row>
    <row r="213">
      <c r="D213" s="31"/>
      <c r="E213" s="21"/>
      <c r="F213" s="31"/>
    </row>
    <row r="214">
      <c r="D214" s="31"/>
      <c r="E214" s="21"/>
      <c r="F214" s="31"/>
    </row>
    <row r="215">
      <c r="D215" s="31"/>
      <c r="E215" s="21"/>
      <c r="F215" s="31"/>
    </row>
    <row r="216">
      <c r="D216" s="31"/>
      <c r="E216" s="21"/>
      <c r="F216" s="31"/>
    </row>
    <row r="217">
      <c r="D217" s="31"/>
      <c r="E217" s="21"/>
      <c r="F217" s="31"/>
    </row>
    <row r="218">
      <c r="D218" s="31"/>
      <c r="E218" s="21"/>
      <c r="F218" s="31"/>
    </row>
    <row r="219">
      <c r="D219" s="31"/>
      <c r="E219" s="21"/>
      <c r="F219" s="31"/>
    </row>
    <row r="220">
      <c r="D220" s="31"/>
      <c r="E220" s="21"/>
      <c r="F220" s="31"/>
    </row>
    <row r="221">
      <c r="D221" s="31"/>
      <c r="E221" s="21"/>
      <c r="F221" s="31"/>
    </row>
    <row r="222">
      <c r="D222" s="31"/>
      <c r="E222" s="21"/>
      <c r="F222" s="31"/>
    </row>
    <row r="223">
      <c r="D223" s="31"/>
      <c r="E223" s="21"/>
      <c r="F223" s="31"/>
    </row>
    <row r="224">
      <c r="D224" s="31"/>
      <c r="E224" s="21"/>
      <c r="F224" s="31"/>
    </row>
    <row r="225">
      <c r="D225" s="31"/>
      <c r="E225" s="21"/>
      <c r="F225" s="31"/>
    </row>
    <row r="226">
      <c r="D226" s="31"/>
      <c r="E226" s="21"/>
      <c r="F226" s="31"/>
    </row>
    <row r="227">
      <c r="D227" s="31"/>
      <c r="E227" s="21"/>
      <c r="F227" s="31"/>
    </row>
    <row r="228">
      <c r="D228" s="31"/>
      <c r="E228" s="21"/>
      <c r="F228" s="31"/>
    </row>
    <row r="229">
      <c r="D229" s="31"/>
      <c r="E229" s="21"/>
      <c r="F229" s="31"/>
    </row>
    <row r="230">
      <c r="D230" s="31"/>
      <c r="E230" s="21"/>
      <c r="F230" s="31"/>
    </row>
    <row r="231">
      <c r="D231" s="31"/>
      <c r="E231" s="21"/>
      <c r="F231" s="31"/>
    </row>
    <row r="232">
      <c r="D232" s="31"/>
      <c r="E232" s="21"/>
      <c r="F232" s="31"/>
    </row>
    <row r="233">
      <c r="D233" s="31"/>
      <c r="E233" s="21"/>
      <c r="F233" s="31"/>
    </row>
    <row r="234">
      <c r="D234" s="31"/>
      <c r="E234" s="21"/>
      <c r="F234" s="31"/>
    </row>
    <row r="235">
      <c r="D235" s="31"/>
      <c r="E235" s="21"/>
      <c r="F235" s="31"/>
    </row>
    <row r="236">
      <c r="D236" s="31"/>
      <c r="E236" s="21"/>
      <c r="F236" s="31"/>
    </row>
    <row r="237">
      <c r="D237" s="31"/>
      <c r="E237" s="21"/>
      <c r="F237" s="31"/>
    </row>
    <row r="238">
      <c r="D238" s="31"/>
      <c r="E238" s="21"/>
      <c r="F238" s="31"/>
    </row>
    <row r="239">
      <c r="D239" s="31"/>
      <c r="E239" s="21"/>
      <c r="F239" s="31"/>
    </row>
    <row r="240">
      <c r="D240" s="31"/>
      <c r="E240" s="21"/>
      <c r="F240" s="31"/>
    </row>
    <row r="241">
      <c r="D241" s="31"/>
      <c r="E241" s="21"/>
      <c r="F241" s="31"/>
    </row>
    <row r="242">
      <c r="D242" s="31"/>
      <c r="E242" s="21"/>
      <c r="F242" s="31"/>
    </row>
    <row r="243">
      <c r="D243" s="31"/>
      <c r="E243" s="21"/>
      <c r="F243" s="31"/>
    </row>
    <row r="244">
      <c r="D244" s="31"/>
      <c r="E244" s="21"/>
      <c r="F244" s="31"/>
    </row>
    <row r="245">
      <c r="D245" s="31"/>
      <c r="E245" s="21"/>
      <c r="F245" s="31"/>
    </row>
    <row r="246">
      <c r="D246" s="31"/>
      <c r="E246" s="21"/>
      <c r="F246" s="31"/>
    </row>
    <row r="247">
      <c r="D247" s="31"/>
      <c r="E247" s="21"/>
      <c r="F247" s="31"/>
    </row>
    <row r="248">
      <c r="D248" s="31"/>
      <c r="E248" s="21"/>
      <c r="F248" s="31"/>
    </row>
    <row r="249">
      <c r="D249" s="31"/>
      <c r="E249" s="21"/>
      <c r="F249" s="31"/>
    </row>
    <row r="250">
      <c r="D250" s="31"/>
      <c r="E250" s="21"/>
      <c r="F250" s="31"/>
    </row>
    <row r="251">
      <c r="D251" s="31"/>
      <c r="E251" s="21"/>
      <c r="F251" s="31"/>
    </row>
    <row r="252">
      <c r="D252" s="31"/>
      <c r="E252" s="21"/>
      <c r="F252" s="31"/>
    </row>
    <row r="253">
      <c r="D253" s="31"/>
      <c r="E253" s="21"/>
      <c r="F253" s="31"/>
    </row>
    <row r="254">
      <c r="D254" s="31"/>
      <c r="E254" s="21"/>
      <c r="F254" s="31"/>
    </row>
    <row r="255">
      <c r="D255" s="31"/>
      <c r="E255" s="21"/>
      <c r="F255" s="31"/>
    </row>
    <row r="256">
      <c r="D256" s="31"/>
      <c r="E256" s="21"/>
      <c r="F256" s="31"/>
    </row>
    <row r="257">
      <c r="D257" s="31"/>
      <c r="E257" s="21"/>
      <c r="F257" s="31"/>
    </row>
    <row r="258">
      <c r="D258" s="31"/>
      <c r="E258" s="21"/>
      <c r="F258" s="31"/>
    </row>
    <row r="259">
      <c r="D259" s="31"/>
      <c r="E259" s="21"/>
      <c r="F259" s="31"/>
    </row>
    <row r="260">
      <c r="D260" s="31"/>
      <c r="E260" s="21"/>
      <c r="F260" s="31"/>
    </row>
    <row r="261">
      <c r="D261" s="31"/>
      <c r="E261" s="21"/>
      <c r="F261" s="31"/>
    </row>
    <row r="262">
      <c r="D262" s="31"/>
      <c r="E262" s="21"/>
      <c r="F262" s="31"/>
    </row>
    <row r="263">
      <c r="D263" s="31"/>
      <c r="E263" s="21"/>
      <c r="F263" s="31"/>
    </row>
    <row r="264">
      <c r="D264" s="31"/>
      <c r="E264" s="21"/>
      <c r="F264" s="31"/>
    </row>
    <row r="265">
      <c r="D265" s="31"/>
      <c r="E265" s="21"/>
      <c r="F265" s="31"/>
    </row>
    <row r="266">
      <c r="D266" s="31"/>
      <c r="E266" s="21"/>
      <c r="F266" s="31"/>
    </row>
    <row r="267">
      <c r="D267" s="31"/>
      <c r="E267" s="21"/>
      <c r="F267" s="31"/>
    </row>
    <row r="268">
      <c r="D268" s="31"/>
      <c r="E268" s="21"/>
      <c r="F268" s="31"/>
    </row>
    <row r="269">
      <c r="D269" s="31"/>
      <c r="E269" s="21"/>
      <c r="F269" s="31"/>
    </row>
    <row r="270">
      <c r="D270" s="31"/>
      <c r="E270" s="21"/>
      <c r="F270" s="31"/>
    </row>
    <row r="271">
      <c r="D271" s="31"/>
      <c r="E271" s="21"/>
      <c r="F271" s="31"/>
    </row>
    <row r="272">
      <c r="D272" s="31"/>
      <c r="E272" s="21"/>
      <c r="F272" s="31"/>
    </row>
    <row r="273">
      <c r="D273" s="31"/>
      <c r="E273" s="21"/>
      <c r="F273" s="31"/>
    </row>
    <row r="274">
      <c r="D274" s="31"/>
      <c r="E274" s="21"/>
      <c r="F274" s="31"/>
    </row>
    <row r="275">
      <c r="D275" s="31"/>
      <c r="E275" s="21"/>
      <c r="F275" s="31"/>
    </row>
    <row r="276">
      <c r="D276" s="31"/>
      <c r="E276" s="21"/>
      <c r="F276" s="31"/>
    </row>
    <row r="277">
      <c r="D277" s="31"/>
      <c r="E277" s="21"/>
      <c r="F277" s="31"/>
    </row>
    <row r="278">
      <c r="D278" s="31"/>
      <c r="E278" s="21"/>
      <c r="F278" s="31"/>
    </row>
    <row r="279">
      <c r="D279" s="31"/>
      <c r="E279" s="21"/>
      <c r="F279" s="31"/>
    </row>
    <row r="280">
      <c r="D280" s="31"/>
      <c r="E280" s="21"/>
      <c r="F280" s="31"/>
    </row>
    <row r="281">
      <c r="D281" s="31"/>
      <c r="E281" s="21"/>
      <c r="F281" s="31"/>
    </row>
    <row r="282">
      <c r="D282" s="31"/>
      <c r="E282" s="21"/>
      <c r="F282" s="31"/>
    </row>
    <row r="283">
      <c r="D283" s="31"/>
      <c r="E283" s="21"/>
      <c r="F283" s="31"/>
    </row>
    <row r="284">
      <c r="D284" s="31"/>
      <c r="E284" s="21"/>
      <c r="F284" s="31"/>
    </row>
    <row r="285">
      <c r="D285" s="31"/>
      <c r="E285" s="21"/>
      <c r="F285" s="31"/>
    </row>
    <row r="286">
      <c r="D286" s="31"/>
      <c r="E286" s="21"/>
      <c r="F286" s="31"/>
    </row>
    <row r="287">
      <c r="D287" s="31"/>
      <c r="E287" s="21"/>
      <c r="F287" s="31"/>
    </row>
    <row r="288">
      <c r="D288" s="31"/>
      <c r="E288" s="21"/>
      <c r="F288" s="31"/>
    </row>
    <row r="289">
      <c r="D289" s="31"/>
      <c r="E289" s="21"/>
      <c r="F289" s="31"/>
    </row>
    <row r="290">
      <c r="D290" s="31"/>
      <c r="E290" s="21"/>
      <c r="F290" s="31"/>
    </row>
    <row r="291">
      <c r="D291" s="31"/>
      <c r="E291" s="21"/>
      <c r="F291" s="31"/>
    </row>
    <row r="292">
      <c r="D292" s="31"/>
      <c r="E292" s="21"/>
      <c r="F292" s="31"/>
    </row>
    <row r="293">
      <c r="D293" s="31"/>
      <c r="E293" s="21"/>
      <c r="F293" s="31"/>
    </row>
    <row r="294">
      <c r="D294" s="31"/>
      <c r="E294" s="21"/>
      <c r="F294" s="31"/>
    </row>
    <row r="295">
      <c r="D295" s="31"/>
      <c r="E295" s="21"/>
      <c r="F295" s="31"/>
    </row>
    <row r="296">
      <c r="D296" s="31"/>
      <c r="E296" s="21"/>
      <c r="F296" s="31"/>
    </row>
    <row r="297">
      <c r="D297" s="31"/>
      <c r="E297" s="21"/>
      <c r="F297" s="31"/>
    </row>
    <row r="298">
      <c r="D298" s="31"/>
      <c r="E298" s="21"/>
      <c r="F298" s="31"/>
    </row>
    <row r="299">
      <c r="D299" s="31"/>
      <c r="E299" s="21"/>
      <c r="F299" s="31"/>
    </row>
    <row r="300">
      <c r="D300" s="31"/>
      <c r="E300" s="21"/>
      <c r="F300" s="31"/>
    </row>
    <row r="301">
      <c r="D301" s="31"/>
      <c r="E301" s="21"/>
      <c r="F301" s="31"/>
    </row>
    <row r="302">
      <c r="D302" s="31"/>
      <c r="E302" s="21"/>
      <c r="F302" s="31"/>
    </row>
    <row r="303">
      <c r="D303" s="31"/>
      <c r="E303" s="21"/>
      <c r="F303" s="31"/>
    </row>
    <row r="304">
      <c r="D304" s="31"/>
      <c r="E304" s="21"/>
      <c r="F304" s="31"/>
    </row>
    <row r="305">
      <c r="D305" s="31"/>
      <c r="E305" s="21"/>
      <c r="F305" s="31"/>
    </row>
    <row r="306">
      <c r="D306" s="31"/>
      <c r="E306" s="21"/>
      <c r="F306" s="31"/>
    </row>
    <row r="307">
      <c r="D307" s="31"/>
      <c r="E307" s="21"/>
      <c r="F307" s="31"/>
    </row>
    <row r="308">
      <c r="D308" s="31"/>
      <c r="E308" s="21"/>
      <c r="F308" s="31"/>
    </row>
    <row r="309">
      <c r="D309" s="31"/>
      <c r="E309" s="21"/>
      <c r="F309" s="31"/>
    </row>
    <row r="310">
      <c r="D310" s="31"/>
      <c r="E310" s="21"/>
      <c r="F310" s="31"/>
    </row>
    <row r="311">
      <c r="D311" s="31"/>
      <c r="E311" s="21"/>
      <c r="F311" s="31"/>
    </row>
    <row r="312">
      <c r="D312" s="31"/>
      <c r="E312" s="21"/>
      <c r="F312" s="31"/>
    </row>
    <row r="313">
      <c r="D313" s="31"/>
      <c r="E313" s="21"/>
      <c r="F313" s="31"/>
    </row>
    <row r="314">
      <c r="D314" s="31"/>
      <c r="E314" s="21"/>
      <c r="F314" s="31"/>
    </row>
    <row r="315">
      <c r="D315" s="31"/>
      <c r="E315" s="21"/>
      <c r="F315" s="31"/>
    </row>
    <row r="316">
      <c r="D316" s="31"/>
      <c r="E316" s="21"/>
      <c r="F316" s="31"/>
    </row>
    <row r="317">
      <c r="D317" s="31"/>
      <c r="E317" s="21"/>
      <c r="F317" s="31"/>
    </row>
    <row r="318">
      <c r="D318" s="31"/>
      <c r="E318" s="21"/>
      <c r="F318" s="31"/>
    </row>
    <row r="319">
      <c r="D319" s="31"/>
      <c r="E319" s="21"/>
      <c r="F319" s="31"/>
    </row>
    <row r="320">
      <c r="D320" s="31"/>
      <c r="E320" s="21"/>
      <c r="F320" s="31"/>
    </row>
    <row r="321">
      <c r="D321" s="31"/>
      <c r="E321" s="21"/>
      <c r="F321" s="31"/>
    </row>
    <row r="322">
      <c r="D322" s="31"/>
      <c r="E322" s="21"/>
      <c r="F322" s="31"/>
    </row>
    <row r="323">
      <c r="D323" s="31"/>
      <c r="E323" s="21"/>
      <c r="F323" s="31"/>
    </row>
    <row r="324">
      <c r="D324" s="31"/>
      <c r="E324" s="21"/>
      <c r="F324" s="31"/>
    </row>
    <row r="325">
      <c r="D325" s="31"/>
      <c r="E325" s="21"/>
      <c r="F325" s="31"/>
    </row>
    <row r="326">
      <c r="D326" s="31"/>
      <c r="E326" s="21"/>
      <c r="F326" s="31"/>
    </row>
    <row r="327">
      <c r="D327" s="31"/>
      <c r="E327" s="21"/>
      <c r="F327" s="31"/>
    </row>
    <row r="328">
      <c r="D328" s="31"/>
      <c r="E328" s="21"/>
      <c r="F328" s="31"/>
    </row>
    <row r="329">
      <c r="D329" s="31"/>
      <c r="E329" s="21"/>
      <c r="F329" s="31"/>
    </row>
    <row r="330">
      <c r="D330" s="31"/>
      <c r="E330" s="21"/>
      <c r="F330" s="31"/>
    </row>
    <row r="331">
      <c r="D331" s="31"/>
      <c r="E331" s="21"/>
      <c r="F331" s="31"/>
    </row>
    <row r="332">
      <c r="D332" s="31"/>
      <c r="E332" s="21"/>
      <c r="F332" s="31"/>
    </row>
    <row r="333">
      <c r="D333" s="31"/>
      <c r="E333" s="21"/>
      <c r="F333" s="31"/>
    </row>
    <row r="334">
      <c r="D334" s="31"/>
      <c r="E334" s="21"/>
      <c r="F334" s="31"/>
    </row>
    <row r="335">
      <c r="D335" s="31"/>
      <c r="E335" s="21"/>
      <c r="F335" s="31"/>
    </row>
    <row r="336">
      <c r="D336" s="31"/>
      <c r="E336" s="21"/>
      <c r="F336" s="31"/>
    </row>
    <row r="337">
      <c r="D337" s="31"/>
      <c r="E337" s="21"/>
      <c r="F337" s="31"/>
    </row>
    <row r="338">
      <c r="D338" s="31"/>
      <c r="E338" s="21"/>
      <c r="F338" s="31"/>
    </row>
    <row r="339">
      <c r="D339" s="31"/>
      <c r="E339" s="21"/>
      <c r="F339" s="31"/>
    </row>
    <row r="340">
      <c r="D340" s="31"/>
      <c r="E340" s="21"/>
      <c r="F340" s="31"/>
    </row>
    <row r="341">
      <c r="D341" s="31"/>
      <c r="E341" s="21"/>
      <c r="F341" s="31"/>
    </row>
    <row r="342">
      <c r="D342" s="31"/>
      <c r="E342" s="21"/>
      <c r="F342" s="31"/>
    </row>
    <row r="343">
      <c r="D343" s="31"/>
      <c r="E343" s="21"/>
      <c r="F343" s="31"/>
    </row>
    <row r="344">
      <c r="D344" s="31"/>
      <c r="E344" s="21"/>
      <c r="F344" s="31"/>
    </row>
    <row r="345">
      <c r="D345" s="31"/>
      <c r="E345" s="21"/>
      <c r="F345" s="31"/>
    </row>
    <row r="346">
      <c r="D346" s="31"/>
      <c r="E346" s="21"/>
      <c r="F346" s="31"/>
    </row>
    <row r="347">
      <c r="D347" s="31"/>
      <c r="E347" s="21"/>
      <c r="F347" s="31"/>
    </row>
    <row r="348">
      <c r="D348" s="31"/>
      <c r="E348" s="21"/>
      <c r="F348" s="31"/>
    </row>
    <row r="349">
      <c r="D349" s="31"/>
      <c r="E349" s="21"/>
      <c r="F349" s="31"/>
    </row>
    <row r="350">
      <c r="D350" s="31"/>
      <c r="E350" s="21"/>
      <c r="F350" s="31"/>
    </row>
    <row r="351">
      <c r="D351" s="31"/>
      <c r="E351" s="21"/>
      <c r="F351" s="31"/>
    </row>
    <row r="352">
      <c r="D352" s="31"/>
      <c r="E352" s="21"/>
      <c r="F352" s="31"/>
    </row>
    <row r="353">
      <c r="D353" s="31"/>
      <c r="E353" s="21"/>
      <c r="F353" s="31"/>
    </row>
    <row r="354">
      <c r="D354" s="31"/>
      <c r="E354" s="21"/>
      <c r="F354" s="31"/>
    </row>
    <row r="355">
      <c r="D355" s="31"/>
      <c r="E355" s="21"/>
      <c r="F355" s="31"/>
    </row>
    <row r="356">
      <c r="D356" s="31"/>
      <c r="E356" s="21"/>
      <c r="F356" s="31"/>
    </row>
    <row r="357">
      <c r="D357" s="31"/>
      <c r="E357" s="21"/>
      <c r="F357" s="31"/>
    </row>
    <row r="358">
      <c r="D358" s="31"/>
      <c r="E358" s="21"/>
      <c r="F358" s="31"/>
    </row>
    <row r="359">
      <c r="D359" s="31"/>
      <c r="E359" s="21"/>
      <c r="F359" s="31"/>
    </row>
    <row r="360">
      <c r="D360" s="31"/>
      <c r="E360" s="21"/>
      <c r="F360" s="31"/>
    </row>
    <row r="361">
      <c r="D361" s="31"/>
      <c r="E361" s="21"/>
      <c r="F361" s="31"/>
    </row>
    <row r="362">
      <c r="D362" s="31"/>
      <c r="E362" s="21"/>
      <c r="F362" s="31"/>
    </row>
    <row r="363">
      <c r="D363" s="31"/>
      <c r="E363" s="21"/>
      <c r="F363" s="31"/>
    </row>
    <row r="364">
      <c r="D364" s="31"/>
      <c r="E364" s="21"/>
      <c r="F364" s="31"/>
    </row>
    <row r="365">
      <c r="D365" s="31"/>
      <c r="E365" s="21"/>
      <c r="F365" s="31"/>
    </row>
    <row r="366">
      <c r="D366" s="31"/>
      <c r="E366" s="21"/>
      <c r="F366" s="31"/>
    </row>
    <row r="367">
      <c r="D367" s="31"/>
      <c r="E367" s="21"/>
      <c r="F367" s="31"/>
    </row>
    <row r="368">
      <c r="D368" s="31"/>
      <c r="E368" s="21"/>
      <c r="F368" s="31"/>
    </row>
    <row r="369">
      <c r="D369" s="31"/>
      <c r="E369" s="21"/>
      <c r="F369" s="31"/>
    </row>
    <row r="370">
      <c r="D370" s="31"/>
      <c r="E370" s="21"/>
      <c r="F370" s="31"/>
    </row>
    <row r="371">
      <c r="D371" s="31"/>
      <c r="E371" s="21"/>
      <c r="F371" s="31"/>
    </row>
    <row r="372">
      <c r="D372" s="31"/>
      <c r="E372" s="21"/>
      <c r="F372" s="31"/>
    </row>
    <row r="373">
      <c r="D373" s="31"/>
      <c r="E373" s="21"/>
      <c r="F373" s="31"/>
    </row>
    <row r="374">
      <c r="D374" s="31"/>
      <c r="E374" s="21"/>
      <c r="F374" s="31"/>
    </row>
    <row r="375">
      <c r="D375" s="31"/>
      <c r="E375" s="21"/>
      <c r="F375" s="31"/>
    </row>
    <row r="376">
      <c r="D376" s="31"/>
      <c r="E376" s="21"/>
      <c r="F376" s="31"/>
    </row>
    <row r="377">
      <c r="D377" s="31"/>
      <c r="E377" s="21"/>
      <c r="F377" s="31"/>
    </row>
    <row r="378">
      <c r="D378" s="31"/>
      <c r="E378" s="21"/>
      <c r="F378" s="31"/>
    </row>
    <row r="379">
      <c r="D379" s="31"/>
      <c r="E379" s="21"/>
      <c r="F379" s="31"/>
    </row>
    <row r="380">
      <c r="D380" s="31"/>
      <c r="E380" s="21"/>
      <c r="F380" s="31"/>
    </row>
    <row r="381">
      <c r="D381" s="31"/>
      <c r="E381" s="21"/>
      <c r="F381" s="31"/>
    </row>
    <row r="382">
      <c r="D382" s="31"/>
      <c r="E382" s="21"/>
      <c r="F382" s="31"/>
    </row>
    <row r="383">
      <c r="D383" s="31"/>
      <c r="E383" s="21"/>
      <c r="F383" s="31"/>
    </row>
    <row r="384">
      <c r="D384" s="31"/>
      <c r="E384" s="21"/>
      <c r="F384" s="31"/>
    </row>
    <row r="385">
      <c r="D385" s="31"/>
      <c r="E385" s="21"/>
      <c r="F385" s="31"/>
    </row>
    <row r="386">
      <c r="D386" s="31"/>
      <c r="E386" s="21"/>
      <c r="F386" s="31"/>
    </row>
    <row r="387">
      <c r="D387" s="31"/>
      <c r="E387" s="21"/>
      <c r="F387" s="31"/>
    </row>
    <row r="388">
      <c r="D388" s="31"/>
      <c r="E388" s="21"/>
      <c r="F388" s="31"/>
    </row>
    <row r="389">
      <c r="D389" s="31"/>
      <c r="E389" s="21"/>
      <c r="F389" s="31"/>
    </row>
    <row r="390">
      <c r="D390" s="31"/>
      <c r="E390" s="21"/>
      <c r="F390" s="31"/>
    </row>
    <row r="391">
      <c r="D391" s="31"/>
      <c r="E391" s="21"/>
      <c r="F391" s="31"/>
    </row>
    <row r="392">
      <c r="D392" s="31"/>
      <c r="E392" s="21"/>
      <c r="F392" s="31"/>
    </row>
    <row r="393">
      <c r="D393" s="31"/>
      <c r="E393" s="21"/>
      <c r="F393" s="31"/>
    </row>
    <row r="394">
      <c r="D394" s="31"/>
      <c r="E394" s="21"/>
      <c r="F394" s="31"/>
    </row>
    <row r="395">
      <c r="D395" s="31"/>
      <c r="E395" s="21"/>
      <c r="F395" s="31"/>
    </row>
    <row r="396">
      <c r="D396" s="31"/>
      <c r="E396" s="21"/>
      <c r="F396" s="31"/>
    </row>
    <row r="397">
      <c r="D397" s="31"/>
      <c r="E397" s="21"/>
      <c r="F397" s="31"/>
    </row>
    <row r="398">
      <c r="D398" s="31"/>
      <c r="E398" s="21"/>
      <c r="F398" s="31"/>
    </row>
    <row r="399">
      <c r="D399" s="31"/>
      <c r="E399" s="21"/>
      <c r="F399" s="31"/>
    </row>
    <row r="400">
      <c r="D400" s="31"/>
      <c r="E400" s="21"/>
      <c r="F400" s="31"/>
    </row>
    <row r="401">
      <c r="D401" s="31"/>
      <c r="E401" s="21"/>
      <c r="F401" s="31"/>
    </row>
    <row r="402">
      <c r="D402" s="31"/>
      <c r="E402" s="21"/>
      <c r="F402" s="31"/>
    </row>
    <row r="403">
      <c r="D403" s="31"/>
      <c r="E403" s="21"/>
      <c r="F403" s="31"/>
    </row>
    <row r="404">
      <c r="D404" s="31"/>
      <c r="E404" s="21"/>
      <c r="F404" s="31"/>
    </row>
    <row r="405">
      <c r="D405" s="31"/>
      <c r="E405" s="21"/>
      <c r="F405" s="31"/>
    </row>
    <row r="406">
      <c r="D406" s="31"/>
      <c r="E406" s="21"/>
      <c r="F406" s="31"/>
    </row>
    <row r="407">
      <c r="D407" s="31"/>
      <c r="E407" s="21"/>
      <c r="F407" s="31"/>
    </row>
    <row r="408">
      <c r="D408" s="31"/>
      <c r="E408" s="21"/>
      <c r="F408" s="31"/>
    </row>
    <row r="409">
      <c r="D409" s="31"/>
      <c r="E409" s="21"/>
      <c r="F409" s="31"/>
    </row>
    <row r="410">
      <c r="D410" s="31"/>
      <c r="E410" s="21"/>
      <c r="F410" s="31"/>
    </row>
    <row r="411">
      <c r="D411" s="31"/>
      <c r="E411" s="21"/>
      <c r="F411" s="31"/>
    </row>
    <row r="412">
      <c r="D412" s="31"/>
      <c r="E412" s="21"/>
      <c r="F412" s="31"/>
    </row>
    <row r="413">
      <c r="D413" s="31"/>
      <c r="E413" s="21"/>
      <c r="F413" s="31"/>
    </row>
    <row r="414">
      <c r="D414" s="31"/>
      <c r="E414" s="21"/>
      <c r="F414" s="31"/>
    </row>
    <row r="415">
      <c r="D415" s="31"/>
      <c r="E415" s="21"/>
      <c r="F415" s="31"/>
    </row>
    <row r="416">
      <c r="D416" s="31"/>
      <c r="E416" s="21"/>
      <c r="F416" s="31"/>
    </row>
    <row r="417">
      <c r="D417" s="31"/>
      <c r="E417" s="21"/>
      <c r="F417" s="31"/>
    </row>
    <row r="418">
      <c r="D418" s="31"/>
      <c r="E418" s="21"/>
      <c r="F418" s="31"/>
    </row>
    <row r="419">
      <c r="D419" s="31"/>
      <c r="E419" s="21"/>
      <c r="F419" s="31"/>
    </row>
    <row r="420">
      <c r="D420" s="31"/>
      <c r="E420" s="21"/>
      <c r="F420" s="31"/>
    </row>
    <row r="421">
      <c r="D421" s="31"/>
      <c r="E421" s="21"/>
      <c r="F421" s="31"/>
    </row>
    <row r="422">
      <c r="D422" s="31"/>
      <c r="E422" s="21"/>
      <c r="F422" s="31"/>
    </row>
    <row r="423">
      <c r="D423" s="31"/>
      <c r="E423" s="21"/>
      <c r="F423" s="31"/>
    </row>
    <row r="424">
      <c r="D424" s="31"/>
      <c r="E424" s="21"/>
      <c r="F424" s="31"/>
    </row>
    <row r="425">
      <c r="D425" s="31"/>
      <c r="E425" s="21"/>
      <c r="F425" s="31"/>
    </row>
    <row r="426">
      <c r="D426" s="31"/>
      <c r="E426" s="21"/>
      <c r="F426" s="31"/>
    </row>
    <row r="427">
      <c r="D427" s="31"/>
      <c r="E427" s="21"/>
      <c r="F427" s="31"/>
    </row>
    <row r="428">
      <c r="D428" s="31"/>
      <c r="E428" s="21"/>
      <c r="F428" s="31"/>
    </row>
    <row r="429">
      <c r="D429" s="31"/>
      <c r="E429" s="21"/>
      <c r="F429" s="31"/>
    </row>
    <row r="430">
      <c r="D430" s="31"/>
      <c r="E430" s="21"/>
      <c r="F430" s="31"/>
    </row>
    <row r="431">
      <c r="D431" s="31"/>
      <c r="E431" s="21"/>
      <c r="F431" s="31"/>
    </row>
    <row r="432">
      <c r="D432" s="31"/>
      <c r="E432" s="21"/>
      <c r="F432" s="31"/>
    </row>
    <row r="433">
      <c r="D433" s="31"/>
      <c r="E433" s="21"/>
      <c r="F433" s="31"/>
    </row>
    <row r="434">
      <c r="D434" s="31"/>
      <c r="E434" s="21"/>
      <c r="F434" s="31"/>
    </row>
    <row r="435">
      <c r="D435" s="31"/>
      <c r="E435" s="21"/>
      <c r="F435" s="31"/>
    </row>
    <row r="436">
      <c r="D436" s="31"/>
      <c r="E436" s="21"/>
      <c r="F436" s="31"/>
    </row>
    <row r="437">
      <c r="D437" s="31"/>
      <c r="E437" s="21"/>
      <c r="F437" s="31"/>
    </row>
    <row r="438">
      <c r="D438" s="31"/>
      <c r="E438" s="21"/>
      <c r="F438" s="31"/>
    </row>
    <row r="439">
      <c r="D439" s="31"/>
      <c r="E439" s="21"/>
      <c r="F439" s="31"/>
    </row>
    <row r="440">
      <c r="D440" s="31"/>
      <c r="E440" s="21"/>
      <c r="F440" s="31"/>
    </row>
    <row r="441">
      <c r="D441" s="31"/>
      <c r="E441" s="21"/>
      <c r="F441" s="31"/>
    </row>
    <row r="442">
      <c r="D442" s="31"/>
      <c r="E442" s="21"/>
      <c r="F442" s="31"/>
    </row>
    <row r="443">
      <c r="D443" s="31"/>
      <c r="E443" s="21"/>
      <c r="F443" s="31"/>
    </row>
    <row r="444">
      <c r="D444" s="31"/>
      <c r="E444" s="21"/>
      <c r="F444" s="31"/>
    </row>
    <row r="445">
      <c r="D445" s="31"/>
      <c r="E445" s="21"/>
      <c r="F445" s="31"/>
    </row>
    <row r="446">
      <c r="D446" s="31"/>
      <c r="E446" s="21"/>
      <c r="F446" s="31"/>
    </row>
    <row r="447">
      <c r="D447" s="31"/>
      <c r="E447" s="21"/>
      <c r="F447" s="31"/>
    </row>
    <row r="448">
      <c r="D448" s="31"/>
      <c r="E448" s="21"/>
      <c r="F448" s="31"/>
    </row>
    <row r="449">
      <c r="D449" s="31"/>
      <c r="E449" s="21"/>
      <c r="F449" s="31"/>
    </row>
    <row r="450">
      <c r="D450" s="31"/>
      <c r="E450" s="21"/>
      <c r="F450" s="31"/>
    </row>
    <row r="451">
      <c r="D451" s="31"/>
      <c r="E451" s="21"/>
      <c r="F451" s="31"/>
    </row>
    <row r="452">
      <c r="D452" s="31"/>
      <c r="E452" s="21"/>
      <c r="F452" s="31"/>
    </row>
    <row r="453">
      <c r="D453" s="31"/>
      <c r="E453" s="21"/>
      <c r="F453" s="31"/>
    </row>
    <row r="454">
      <c r="D454" s="31"/>
      <c r="E454" s="21"/>
      <c r="F454" s="31"/>
    </row>
    <row r="455">
      <c r="D455" s="31"/>
      <c r="E455" s="21"/>
      <c r="F455" s="31"/>
    </row>
    <row r="456">
      <c r="D456" s="31"/>
      <c r="E456" s="21"/>
      <c r="F456" s="31"/>
    </row>
    <row r="457">
      <c r="D457" s="31"/>
      <c r="E457" s="21"/>
      <c r="F457" s="31"/>
    </row>
    <row r="458">
      <c r="D458" s="31"/>
      <c r="E458" s="21"/>
      <c r="F458" s="31"/>
    </row>
    <row r="459">
      <c r="D459" s="31"/>
      <c r="E459" s="21"/>
      <c r="F459" s="31"/>
    </row>
    <row r="460">
      <c r="D460" s="31"/>
      <c r="E460" s="21"/>
      <c r="F460" s="31"/>
    </row>
    <row r="461">
      <c r="D461" s="31"/>
      <c r="E461" s="21"/>
      <c r="F461" s="31"/>
    </row>
    <row r="462">
      <c r="D462" s="31"/>
      <c r="E462" s="21"/>
      <c r="F462" s="31"/>
    </row>
    <row r="463">
      <c r="D463" s="31"/>
      <c r="E463" s="21"/>
      <c r="F463" s="31"/>
    </row>
    <row r="464">
      <c r="D464" s="31"/>
      <c r="E464" s="21"/>
      <c r="F464" s="31"/>
    </row>
    <row r="465">
      <c r="D465" s="31"/>
      <c r="E465" s="21"/>
      <c r="F465" s="31"/>
    </row>
    <row r="466">
      <c r="D466" s="31"/>
      <c r="E466" s="21"/>
      <c r="F466" s="31"/>
    </row>
    <row r="467">
      <c r="D467" s="31"/>
      <c r="E467" s="21"/>
      <c r="F467" s="31"/>
    </row>
    <row r="468">
      <c r="D468" s="31"/>
      <c r="E468" s="21"/>
      <c r="F468" s="31"/>
    </row>
    <row r="469">
      <c r="D469" s="31"/>
      <c r="E469" s="21"/>
      <c r="F469" s="31"/>
    </row>
    <row r="470">
      <c r="D470" s="31"/>
      <c r="E470" s="21"/>
      <c r="F470" s="31"/>
    </row>
    <row r="471">
      <c r="D471" s="31"/>
      <c r="E471" s="21"/>
      <c r="F471" s="31"/>
    </row>
    <row r="472">
      <c r="D472" s="31"/>
      <c r="E472" s="21"/>
      <c r="F472" s="31"/>
    </row>
    <row r="473">
      <c r="D473" s="31"/>
      <c r="E473" s="21"/>
      <c r="F473" s="31"/>
    </row>
    <row r="474">
      <c r="D474" s="31"/>
      <c r="E474" s="21"/>
      <c r="F474" s="31"/>
    </row>
    <row r="475">
      <c r="D475" s="31"/>
      <c r="E475" s="21"/>
      <c r="F475" s="31"/>
    </row>
    <row r="476">
      <c r="D476" s="31"/>
      <c r="E476" s="21"/>
      <c r="F476" s="31"/>
    </row>
    <row r="477">
      <c r="D477" s="31"/>
      <c r="E477" s="21"/>
      <c r="F477" s="31"/>
    </row>
    <row r="478">
      <c r="D478" s="31"/>
      <c r="E478" s="21"/>
      <c r="F478" s="31"/>
    </row>
    <row r="479">
      <c r="D479" s="31"/>
      <c r="E479" s="21"/>
      <c r="F479" s="31"/>
    </row>
    <row r="480">
      <c r="D480" s="31"/>
      <c r="E480" s="21"/>
      <c r="F480" s="31"/>
    </row>
    <row r="481">
      <c r="D481" s="31"/>
      <c r="E481" s="21"/>
      <c r="F481" s="31"/>
    </row>
    <row r="482">
      <c r="D482" s="31"/>
      <c r="E482" s="21"/>
      <c r="F482" s="31"/>
    </row>
    <row r="483">
      <c r="D483" s="31"/>
      <c r="E483" s="21"/>
      <c r="F483" s="31"/>
    </row>
    <row r="484">
      <c r="D484" s="31"/>
      <c r="E484" s="21"/>
      <c r="F484" s="31"/>
    </row>
    <row r="485">
      <c r="D485" s="31"/>
      <c r="E485" s="21"/>
      <c r="F485" s="31"/>
    </row>
    <row r="486">
      <c r="D486" s="31"/>
      <c r="E486" s="21"/>
      <c r="F486" s="31"/>
    </row>
    <row r="487">
      <c r="D487" s="31"/>
      <c r="E487" s="21"/>
      <c r="F487" s="31"/>
    </row>
    <row r="488">
      <c r="D488" s="31"/>
      <c r="E488" s="21"/>
      <c r="F488" s="31"/>
    </row>
    <row r="489">
      <c r="D489" s="31"/>
      <c r="E489" s="21"/>
      <c r="F489" s="31"/>
    </row>
    <row r="490">
      <c r="D490" s="31"/>
      <c r="E490" s="21"/>
      <c r="F490" s="31"/>
    </row>
    <row r="491">
      <c r="D491" s="31"/>
      <c r="E491" s="21"/>
      <c r="F491" s="31"/>
    </row>
    <row r="492">
      <c r="D492" s="31"/>
      <c r="E492" s="21"/>
      <c r="F492" s="31"/>
    </row>
    <row r="493">
      <c r="D493" s="31"/>
      <c r="E493" s="21"/>
      <c r="F493" s="31"/>
    </row>
    <row r="494">
      <c r="D494" s="31"/>
      <c r="E494" s="21"/>
      <c r="F494" s="31"/>
    </row>
    <row r="495">
      <c r="D495" s="31"/>
      <c r="E495" s="21"/>
      <c r="F495" s="31"/>
    </row>
    <row r="496">
      <c r="D496" s="31"/>
      <c r="E496" s="21"/>
      <c r="F496" s="31"/>
    </row>
    <row r="497">
      <c r="D497" s="31"/>
      <c r="E497" s="21"/>
      <c r="F497" s="31"/>
    </row>
    <row r="498">
      <c r="D498" s="31"/>
      <c r="E498" s="21"/>
      <c r="F498" s="31"/>
    </row>
    <row r="499">
      <c r="D499" s="31"/>
      <c r="E499" s="21"/>
      <c r="F499" s="31"/>
    </row>
    <row r="500">
      <c r="D500" s="31"/>
      <c r="E500" s="21"/>
      <c r="F500" s="31"/>
    </row>
    <row r="501">
      <c r="D501" s="31"/>
      <c r="E501" s="21"/>
      <c r="F501" s="31"/>
    </row>
    <row r="502">
      <c r="D502" s="31"/>
      <c r="E502" s="21"/>
      <c r="F502" s="31"/>
    </row>
    <row r="503">
      <c r="D503" s="31"/>
      <c r="E503" s="21"/>
      <c r="F503" s="31"/>
    </row>
    <row r="504">
      <c r="D504" s="31"/>
      <c r="E504" s="21"/>
      <c r="F504" s="31"/>
    </row>
    <row r="505">
      <c r="D505" s="31"/>
      <c r="E505" s="21"/>
      <c r="F505" s="31"/>
    </row>
    <row r="506">
      <c r="D506" s="31"/>
      <c r="E506" s="21"/>
      <c r="F506" s="31"/>
    </row>
    <row r="507">
      <c r="D507" s="31"/>
      <c r="E507" s="21"/>
      <c r="F507" s="31"/>
    </row>
    <row r="508">
      <c r="D508" s="31"/>
      <c r="E508" s="21"/>
      <c r="F508" s="31"/>
    </row>
    <row r="509">
      <c r="D509" s="31"/>
      <c r="E509" s="21"/>
      <c r="F509" s="31"/>
    </row>
    <row r="510">
      <c r="D510" s="31"/>
      <c r="E510" s="21"/>
      <c r="F510" s="31"/>
    </row>
    <row r="511">
      <c r="D511" s="31"/>
      <c r="E511" s="21"/>
      <c r="F511" s="31"/>
    </row>
    <row r="512">
      <c r="D512" s="31"/>
      <c r="E512" s="21"/>
      <c r="F512" s="31"/>
    </row>
    <row r="513">
      <c r="D513" s="31"/>
      <c r="E513" s="21"/>
      <c r="F513" s="31"/>
    </row>
    <row r="514">
      <c r="D514" s="31"/>
      <c r="E514" s="21"/>
      <c r="F514" s="31"/>
    </row>
    <row r="515">
      <c r="D515" s="31"/>
      <c r="E515" s="21"/>
      <c r="F515" s="31"/>
    </row>
    <row r="516">
      <c r="D516" s="31"/>
      <c r="E516" s="21"/>
      <c r="F516" s="31"/>
    </row>
    <row r="517">
      <c r="D517" s="31"/>
      <c r="E517" s="21"/>
      <c r="F517" s="31"/>
    </row>
    <row r="518">
      <c r="D518" s="31"/>
      <c r="E518" s="21"/>
      <c r="F518" s="31"/>
    </row>
    <row r="519">
      <c r="D519" s="31"/>
      <c r="E519" s="21"/>
      <c r="F519" s="31"/>
    </row>
    <row r="520">
      <c r="D520" s="31"/>
      <c r="E520" s="21"/>
      <c r="F520" s="31"/>
    </row>
    <row r="521">
      <c r="D521" s="31"/>
      <c r="E521" s="21"/>
      <c r="F521" s="31"/>
    </row>
    <row r="522">
      <c r="D522" s="31"/>
      <c r="E522" s="21"/>
      <c r="F522" s="31"/>
    </row>
    <row r="523">
      <c r="D523" s="31"/>
      <c r="E523" s="21"/>
      <c r="F523" s="31"/>
    </row>
    <row r="524">
      <c r="D524" s="31"/>
      <c r="E524" s="21"/>
      <c r="F524" s="31"/>
    </row>
    <row r="525">
      <c r="D525" s="31"/>
      <c r="E525" s="21"/>
      <c r="F525" s="31"/>
    </row>
    <row r="526">
      <c r="D526" s="31"/>
      <c r="E526" s="21"/>
      <c r="F526" s="31"/>
    </row>
    <row r="527">
      <c r="D527" s="31"/>
      <c r="E527" s="21"/>
      <c r="F527" s="31"/>
    </row>
    <row r="528">
      <c r="D528" s="31"/>
      <c r="E528" s="21"/>
      <c r="F528" s="31"/>
    </row>
    <row r="529">
      <c r="D529" s="31"/>
      <c r="E529" s="21"/>
      <c r="F529" s="31"/>
    </row>
    <row r="530">
      <c r="D530" s="31"/>
      <c r="E530" s="21"/>
      <c r="F530" s="31"/>
    </row>
    <row r="531">
      <c r="D531" s="31"/>
      <c r="E531" s="21"/>
      <c r="F531" s="31"/>
    </row>
    <row r="532">
      <c r="D532" s="31"/>
      <c r="E532" s="21"/>
      <c r="F532" s="31"/>
    </row>
    <row r="533">
      <c r="D533" s="31"/>
      <c r="E533" s="21"/>
      <c r="F533" s="31"/>
    </row>
    <row r="534">
      <c r="D534" s="31"/>
      <c r="E534" s="21"/>
      <c r="F534" s="31"/>
    </row>
    <row r="535">
      <c r="D535" s="31"/>
      <c r="E535" s="21"/>
      <c r="F535" s="31"/>
    </row>
    <row r="536">
      <c r="D536" s="31"/>
      <c r="E536" s="21"/>
      <c r="F536" s="31"/>
    </row>
    <row r="537">
      <c r="D537" s="31"/>
      <c r="E537" s="21"/>
      <c r="F537" s="31"/>
    </row>
    <row r="538">
      <c r="D538" s="31"/>
      <c r="E538" s="21"/>
      <c r="F538" s="31"/>
    </row>
    <row r="539">
      <c r="D539" s="31"/>
      <c r="E539" s="21"/>
      <c r="F539" s="31"/>
    </row>
    <row r="540">
      <c r="D540" s="31"/>
      <c r="E540" s="21"/>
      <c r="F540" s="31"/>
    </row>
    <row r="541">
      <c r="D541" s="31"/>
      <c r="E541" s="21"/>
      <c r="F541" s="31"/>
    </row>
    <row r="542">
      <c r="D542" s="31"/>
      <c r="E542" s="21"/>
      <c r="F542" s="31"/>
    </row>
    <row r="543">
      <c r="D543" s="31"/>
      <c r="E543" s="21"/>
      <c r="F543" s="31"/>
    </row>
    <row r="544">
      <c r="D544" s="31"/>
      <c r="E544" s="21"/>
      <c r="F544" s="31"/>
    </row>
    <row r="545">
      <c r="D545" s="31"/>
      <c r="E545" s="21"/>
      <c r="F545" s="31"/>
    </row>
    <row r="546">
      <c r="D546" s="31"/>
      <c r="E546" s="21"/>
      <c r="F546" s="31"/>
    </row>
    <row r="547">
      <c r="D547" s="31"/>
      <c r="E547" s="21"/>
      <c r="F547" s="31"/>
    </row>
    <row r="548">
      <c r="D548" s="31"/>
      <c r="E548" s="21"/>
      <c r="F548" s="31"/>
    </row>
    <row r="549">
      <c r="D549" s="31"/>
      <c r="E549" s="21"/>
      <c r="F549" s="31"/>
    </row>
    <row r="550">
      <c r="D550" s="31"/>
      <c r="E550" s="21"/>
      <c r="F550" s="31"/>
    </row>
    <row r="551">
      <c r="D551" s="31"/>
      <c r="E551" s="21"/>
      <c r="F551" s="31"/>
    </row>
    <row r="552">
      <c r="D552" s="31"/>
      <c r="E552" s="21"/>
      <c r="F552" s="31"/>
    </row>
    <row r="553">
      <c r="D553" s="31"/>
      <c r="E553" s="21"/>
      <c r="F553" s="31"/>
    </row>
    <row r="554">
      <c r="D554" s="31"/>
      <c r="E554" s="21"/>
      <c r="F554" s="31"/>
    </row>
    <row r="555">
      <c r="D555" s="31"/>
      <c r="E555" s="21"/>
      <c r="F555" s="31"/>
    </row>
    <row r="556">
      <c r="D556" s="31"/>
      <c r="E556" s="21"/>
      <c r="F556" s="31"/>
    </row>
    <row r="557">
      <c r="D557" s="31"/>
      <c r="E557" s="21"/>
      <c r="F557" s="31"/>
    </row>
    <row r="558">
      <c r="D558" s="31"/>
      <c r="E558" s="21"/>
      <c r="F558" s="31"/>
    </row>
    <row r="559">
      <c r="D559" s="31"/>
      <c r="E559" s="21"/>
      <c r="F559" s="31"/>
    </row>
    <row r="560">
      <c r="D560" s="31"/>
      <c r="E560" s="21"/>
      <c r="F560" s="31"/>
    </row>
    <row r="561">
      <c r="D561" s="31"/>
      <c r="E561" s="21"/>
      <c r="F561" s="31"/>
    </row>
    <row r="562">
      <c r="D562" s="31"/>
      <c r="E562" s="21"/>
      <c r="F562" s="31"/>
    </row>
    <row r="563">
      <c r="D563" s="31"/>
      <c r="E563" s="21"/>
      <c r="F563" s="31"/>
    </row>
    <row r="564">
      <c r="D564" s="31"/>
      <c r="E564" s="21"/>
      <c r="F564" s="31"/>
    </row>
    <row r="565">
      <c r="D565" s="31"/>
      <c r="E565" s="21"/>
      <c r="F565" s="31"/>
    </row>
    <row r="566">
      <c r="D566" s="31"/>
      <c r="E566" s="21"/>
      <c r="F566" s="31"/>
    </row>
    <row r="567">
      <c r="D567" s="31"/>
      <c r="E567" s="21"/>
      <c r="F567" s="31"/>
    </row>
    <row r="568">
      <c r="D568" s="31"/>
      <c r="E568" s="21"/>
      <c r="F568" s="31"/>
    </row>
    <row r="569">
      <c r="D569" s="31"/>
      <c r="E569" s="21"/>
      <c r="F569" s="31"/>
    </row>
    <row r="570">
      <c r="D570" s="31"/>
      <c r="E570" s="21"/>
      <c r="F570" s="31"/>
    </row>
    <row r="571">
      <c r="D571" s="31"/>
      <c r="E571" s="21"/>
      <c r="F571" s="31"/>
    </row>
    <row r="572">
      <c r="D572" s="31"/>
      <c r="E572" s="21"/>
      <c r="F572" s="31"/>
    </row>
    <row r="573">
      <c r="D573" s="31"/>
      <c r="E573" s="21"/>
      <c r="F573" s="31"/>
    </row>
    <row r="574">
      <c r="D574" s="31"/>
      <c r="E574" s="21"/>
      <c r="F574" s="31"/>
    </row>
    <row r="575">
      <c r="D575" s="31"/>
      <c r="E575" s="21"/>
      <c r="F575" s="31"/>
    </row>
    <row r="576">
      <c r="D576" s="31"/>
      <c r="E576" s="21"/>
      <c r="F576" s="31"/>
    </row>
    <row r="577">
      <c r="D577" s="31"/>
      <c r="E577" s="21"/>
      <c r="F577" s="31"/>
    </row>
    <row r="578">
      <c r="D578" s="31"/>
      <c r="E578" s="21"/>
      <c r="F578" s="31"/>
    </row>
    <row r="579">
      <c r="D579" s="31"/>
      <c r="E579" s="21"/>
      <c r="F579" s="31"/>
    </row>
    <row r="580">
      <c r="D580" s="31"/>
      <c r="E580" s="21"/>
      <c r="F580" s="31"/>
    </row>
    <row r="581">
      <c r="D581" s="31"/>
      <c r="E581" s="21"/>
      <c r="F581" s="31"/>
    </row>
    <row r="582">
      <c r="D582" s="31"/>
      <c r="E582" s="21"/>
      <c r="F582" s="31"/>
    </row>
    <row r="583">
      <c r="D583" s="31"/>
      <c r="E583" s="21"/>
      <c r="F583" s="31"/>
    </row>
    <row r="584">
      <c r="D584" s="31"/>
      <c r="E584" s="21"/>
      <c r="F584" s="31"/>
    </row>
    <row r="585">
      <c r="D585" s="31"/>
      <c r="E585" s="21"/>
      <c r="F585" s="31"/>
    </row>
    <row r="586">
      <c r="D586" s="31"/>
      <c r="E586" s="21"/>
      <c r="F586" s="31"/>
    </row>
    <row r="587">
      <c r="D587" s="31"/>
      <c r="E587" s="21"/>
      <c r="F587" s="31"/>
    </row>
    <row r="588">
      <c r="D588" s="31"/>
      <c r="E588" s="21"/>
      <c r="F588" s="31"/>
    </row>
    <row r="589">
      <c r="D589" s="31"/>
      <c r="E589" s="21"/>
      <c r="F589" s="31"/>
    </row>
    <row r="590">
      <c r="D590" s="31"/>
      <c r="E590" s="21"/>
      <c r="F590" s="31"/>
    </row>
    <row r="591">
      <c r="D591" s="31"/>
      <c r="E591" s="21"/>
      <c r="F591" s="31"/>
    </row>
    <row r="592">
      <c r="D592" s="31"/>
      <c r="E592" s="21"/>
      <c r="F592" s="31"/>
    </row>
    <row r="593">
      <c r="D593" s="31"/>
      <c r="E593" s="21"/>
      <c r="F593" s="31"/>
    </row>
    <row r="594">
      <c r="D594" s="31"/>
      <c r="E594" s="21"/>
      <c r="F594" s="31"/>
    </row>
    <row r="595">
      <c r="D595" s="31"/>
      <c r="E595" s="21"/>
      <c r="F595" s="31"/>
    </row>
    <row r="596">
      <c r="D596" s="31"/>
      <c r="E596" s="21"/>
      <c r="F596" s="31"/>
    </row>
    <row r="597">
      <c r="D597" s="31"/>
      <c r="E597" s="21"/>
      <c r="F597" s="31"/>
    </row>
    <row r="598">
      <c r="D598" s="31"/>
      <c r="E598" s="21"/>
      <c r="F598" s="31"/>
    </row>
    <row r="599">
      <c r="D599" s="31"/>
      <c r="E599" s="21"/>
      <c r="F599" s="31"/>
    </row>
    <row r="600">
      <c r="D600" s="31"/>
      <c r="E600" s="21"/>
      <c r="F600" s="31"/>
    </row>
    <row r="601">
      <c r="D601" s="31"/>
      <c r="E601" s="21"/>
      <c r="F601" s="31"/>
    </row>
    <row r="602">
      <c r="D602" s="31"/>
      <c r="E602" s="21"/>
      <c r="F602" s="31"/>
    </row>
    <row r="603">
      <c r="D603" s="31"/>
      <c r="E603" s="21"/>
      <c r="F603" s="31"/>
    </row>
    <row r="604">
      <c r="D604" s="31"/>
      <c r="E604" s="21"/>
      <c r="F604" s="31"/>
    </row>
    <row r="605">
      <c r="D605" s="31"/>
      <c r="E605" s="21"/>
      <c r="F605" s="31"/>
    </row>
    <row r="606">
      <c r="D606" s="31"/>
      <c r="E606" s="21"/>
      <c r="F606" s="31"/>
    </row>
    <row r="607">
      <c r="D607" s="31"/>
      <c r="E607" s="21"/>
      <c r="F607" s="31"/>
    </row>
    <row r="608">
      <c r="D608" s="31"/>
      <c r="E608" s="21"/>
      <c r="F608" s="31"/>
    </row>
    <row r="609">
      <c r="D609" s="31"/>
      <c r="E609" s="21"/>
      <c r="F609" s="31"/>
    </row>
    <row r="610">
      <c r="D610" s="31"/>
      <c r="E610" s="21"/>
      <c r="F610" s="31"/>
    </row>
    <row r="611">
      <c r="D611" s="31"/>
      <c r="E611" s="21"/>
      <c r="F611" s="31"/>
    </row>
    <row r="612">
      <c r="D612" s="31"/>
      <c r="E612" s="21"/>
      <c r="F612" s="31"/>
    </row>
    <row r="613">
      <c r="D613" s="31"/>
      <c r="E613" s="21"/>
      <c r="F613" s="31"/>
    </row>
    <row r="614">
      <c r="D614" s="31"/>
      <c r="E614" s="21"/>
      <c r="F614" s="31"/>
    </row>
    <row r="615">
      <c r="D615" s="31"/>
      <c r="E615" s="21"/>
      <c r="F615" s="31"/>
    </row>
    <row r="616">
      <c r="D616" s="31"/>
      <c r="E616" s="21"/>
      <c r="F616" s="31"/>
    </row>
    <row r="617">
      <c r="D617" s="31"/>
      <c r="E617" s="21"/>
      <c r="F617" s="31"/>
    </row>
    <row r="618">
      <c r="D618" s="31"/>
      <c r="E618" s="21"/>
      <c r="F618" s="31"/>
    </row>
    <row r="619">
      <c r="D619" s="31"/>
      <c r="E619" s="21"/>
      <c r="F619" s="31"/>
    </row>
    <row r="620">
      <c r="D620" s="31"/>
      <c r="E620" s="21"/>
      <c r="F620" s="31"/>
    </row>
    <row r="621">
      <c r="D621" s="31"/>
      <c r="E621" s="21"/>
      <c r="F621" s="31"/>
    </row>
    <row r="622">
      <c r="D622" s="31"/>
      <c r="E622" s="21"/>
      <c r="F622" s="31"/>
    </row>
    <row r="623">
      <c r="D623" s="31"/>
      <c r="E623" s="21"/>
      <c r="F623" s="31"/>
    </row>
    <row r="624">
      <c r="D624" s="31"/>
      <c r="E624" s="21"/>
      <c r="F624" s="31"/>
    </row>
    <row r="625">
      <c r="D625" s="31"/>
      <c r="E625" s="21"/>
      <c r="F625" s="31"/>
    </row>
    <row r="626">
      <c r="D626" s="31"/>
      <c r="E626" s="21"/>
      <c r="F626" s="31"/>
    </row>
    <row r="627">
      <c r="D627" s="31"/>
      <c r="E627" s="21"/>
      <c r="F627" s="31"/>
    </row>
    <row r="628">
      <c r="D628" s="31"/>
      <c r="E628" s="21"/>
      <c r="F628" s="31"/>
    </row>
    <row r="629">
      <c r="D629" s="31"/>
      <c r="E629" s="21"/>
      <c r="F629" s="31"/>
    </row>
    <row r="630">
      <c r="D630" s="31"/>
      <c r="E630" s="21"/>
      <c r="F630" s="31"/>
    </row>
    <row r="631">
      <c r="D631" s="31"/>
      <c r="E631" s="21"/>
      <c r="F631" s="31"/>
    </row>
    <row r="632">
      <c r="D632" s="31"/>
      <c r="E632" s="21"/>
      <c r="F632" s="31"/>
    </row>
    <row r="633">
      <c r="D633" s="31"/>
      <c r="E633" s="21"/>
      <c r="F633" s="31"/>
    </row>
    <row r="634">
      <c r="D634" s="31"/>
      <c r="E634" s="21"/>
      <c r="F634" s="31"/>
    </row>
    <row r="635">
      <c r="D635" s="31"/>
      <c r="E635" s="21"/>
      <c r="F635" s="31"/>
    </row>
    <row r="636">
      <c r="D636" s="31"/>
      <c r="E636" s="21"/>
      <c r="F636" s="31"/>
    </row>
    <row r="637">
      <c r="D637" s="31"/>
      <c r="E637" s="21"/>
      <c r="F637" s="31"/>
    </row>
    <row r="638">
      <c r="D638" s="31"/>
      <c r="E638" s="21"/>
      <c r="F638" s="31"/>
    </row>
    <row r="639">
      <c r="D639" s="31"/>
      <c r="E639" s="21"/>
      <c r="F639" s="31"/>
    </row>
    <row r="640">
      <c r="D640" s="31"/>
      <c r="E640" s="21"/>
      <c r="F640" s="31"/>
    </row>
    <row r="641">
      <c r="D641" s="31"/>
      <c r="E641" s="21"/>
      <c r="F641" s="31"/>
    </row>
    <row r="642">
      <c r="D642" s="31"/>
      <c r="E642" s="21"/>
      <c r="F642" s="31"/>
    </row>
    <row r="643">
      <c r="D643" s="31"/>
      <c r="E643" s="21"/>
      <c r="F643" s="31"/>
    </row>
    <row r="644">
      <c r="D644" s="31"/>
      <c r="E644" s="21"/>
      <c r="F644" s="31"/>
    </row>
    <row r="645">
      <c r="D645" s="31"/>
      <c r="E645" s="21"/>
      <c r="F645" s="31"/>
    </row>
    <row r="646">
      <c r="D646" s="31"/>
      <c r="E646" s="21"/>
      <c r="F646" s="31"/>
    </row>
    <row r="647">
      <c r="D647" s="31"/>
      <c r="E647" s="21"/>
      <c r="F647" s="31"/>
    </row>
    <row r="648">
      <c r="D648" s="31"/>
      <c r="E648" s="21"/>
      <c r="F648" s="31"/>
    </row>
    <row r="649">
      <c r="D649" s="31"/>
      <c r="E649" s="21"/>
      <c r="F649" s="31"/>
    </row>
    <row r="650">
      <c r="D650" s="31"/>
      <c r="E650" s="21"/>
      <c r="F650" s="31"/>
    </row>
    <row r="651">
      <c r="D651" s="31"/>
      <c r="E651" s="21"/>
      <c r="F651" s="31"/>
    </row>
    <row r="652">
      <c r="D652" s="31"/>
      <c r="E652" s="21"/>
      <c r="F652" s="31"/>
    </row>
    <row r="653">
      <c r="D653" s="31"/>
      <c r="E653" s="21"/>
      <c r="F653" s="31"/>
    </row>
    <row r="654">
      <c r="D654" s="31"/>
      <c r="E654" s="21"/>
      <c r="F654" s="31"/>
    </row>
    <row r="655">
      <c r="D655" s="31"/>
      <c r="E655" s="21"/>
      <c r="F655" s="31"/>
    </row>
    <row r="656">
      <c r="D656" s="31"/>
      <c r="E656" s="21"/>
      <c r="F656" s="31"/>
    </row>
    <row r="657">
      <c r="D657" s="31"/>
      <c r="E657" s="21"/>
      <c r="F657" s="31"/>
    </row>
    <row r="658">
      <c r="D658" s="31"/>
      <c r="E658" s="21"/>
      <c r="F658" s="31"/>
    </row>
    <row r="659">
      <c r="D659" s="31"/>
      <c r="E659" s="21"/>
      <c r="F659" s="31"/>
    </row>
    <row r="660">
      <c r="D660" s="31"/>
      <c r="E660" s="21"/>
      <c r="F660" s="31"/>
    </row>
    <row r="661">
      <c r="D661" s="31"/>
      <c r="E661" s="21"/>
      <c r="F661" s="31"/>
    </row>
    <row r="662">
      <c r="D662" s="31"/>
      <c r="E662" s="21"/>
      <c r="F662" s="31"/>
    </row>
    <row r="663">
      <c r="D663" s="31"/>
      <c r="E663" s="21"/>
      <c r="F663" s="31"/>
    </row>
    <row r="664">
      <c r="D664" s="31"/>
      <c r="E664" s="21"/>
      <c r="F664" s="31"/>
    </row>
    <row r="665">
      <c r="D665" s="31"/>
      <c r="E665" s="21"/>
      <c r="F665" s="31"/>
    </row>
    <row r="666">
      <c r="D666" s="31"/>
      <c r="E666" s="21"/>
      <c r="F666" s="31"/>
    </row>
    <row r="667">
      <c r="D667" s="31"/>
      <c r="E667" s="21"/>
      <c r="F667" s="31"/>
    </row>
    <row r="668">
      <c r="D668" s="31"/>
      <c r="E668" s="21"/>
      <c r="F668" s="31"/>
    </row>
    <row r="669">
      <c r="D669" s="31"/>
      <c r="E669" s="21"/>
      <c r="F669" s="31"/>
    </row>
    <row r="670">
      <c r="D670" s="31"/>
      <c r="E670" s="21"/>
      <c r="F670" s="31"/>
    </row>
    <row r="671">
      <c r="D671" s="31"/>
      <c r="E671" s="21"/>
      <c r="F671" s="31"/>
    </row>
    <row r="672">
      <c r="D672" s="31"/>
      <c r="E672" s="21"/>
      <c r="F672" s="31"/>
    </row>
    <row r="673">
      <c r="D673" s="31"/>
      <c r="E673" s="21"/>
      <c r="F673" s="31"/>
    </row>
    <row r="674">
      <c r="D674" s="31"/>
      <c r="E674" s="21"/>
      <c r="F674" s="31"/>
    </row>
    <row r="675">
      <c r="D675" s="31"/>
      <c r="E675" s="21"/>
      <c r="F675" s="31"/>
    </row>
    <row r="676">
      <c r="D676" s="31"/>
      <c r="E676" s="21"/>
      <c r="F676" s="31"/>
    </row>
    <row r="677">
      <c r="D677" s="31"/>
      <c r="E677" s="21"/>
      <c r="F677" s="31"/>
    </row>
    <row r="678">
      <c r="D678" s="31"/>
      <c r="E678" s="21"/>
      <c r="F678" s="31"/>
    </row>
    <row r="679">
      <c r="D679" s="31"/>
      <c r="E679" s="21"/>
      <c r="F679" s="31"/>
    </row>
    <row r="680">
      <c r="D680" s="31"/>
      <c r="E680" s="21"/>
      <c r="F680" s="31"/>
    </row>
    <row r="681">
      <c r="D681" s="31"/>
      <c r="E681" s="21"/>
      <c r="F681" s="31"/>
    </row>
    <row r="682">
      <c r="D682" s="31"/>
      <c r="E682" s="21"/>
      <c r="F682" s="31"/>
    </row>
    <row r="683">
      <c r="D683" s="31"/>
      <c r="E683" s="21"/>
      <c r="F683" s="31"/>
    </row>
    <row r="684">
      <c r="D684" s="31"/>
      <c r="E684" s="21"/>
      <c r="F684" s="31"/>
    </row>
    <row r="685">
      <c r="D685" s="31"/>
      <c r="E685" s="21"/>
      <c r="F685" s="31"/>
    </row>
    <row r="686">
      <c r="D686" s="31"/>
      <c r="E686" s="21"/>
      <c r="F686" s="31"/>
    </row>
    <row r="687">
      <c r="D687" s="31"/>
      <c r="E687" s="21"/>
      <c r="F687" s="31"/>
    </row>
    <row r="688">
      <c r="D688" s="31"/>
      <c r="E688" s="21"/>
      <c r="F688" s="31"/>
    </row>
    <row r="689">
      <c r="D689" s="31"/>
      <c r="E689" s="21"/>
      <c r="F689" s="31"/>
    </row>
    <row r="690">
      <c r="D690" s="31"/>
      <c r="E690" s="21"/>
      <c r="F690" s="31"/>
    </row>
    <row r="691">
      <c r="D691" s="31"/>
      <c r="E691" s="21"/>
      <c r="F691" s="31"/>
    </row>
    <row r="692">
      <c r="D692" s="31"/>
      <c r="E692" s="21"/>
      <c r="F692" s="31"/>
    </row>
    <row r="693">
      <c r="D693" s="31"/>
      <c r="E693" s="21"/>
      <c r="F693" s="31"/>
    </row>
    <row r="694">
      <c r="D694" s="31"/>
      <c r="E694" s="21"/>
      <c r="F694" s="31"/>
    </row>
    <row r="695">
      <c r="D695" s="31"/>
      <c r="E695" s="21"/>
      <c r="F695" s="31"/>
    </row>
    <row r="696">
      <c r="D696" s="31"/>
      <c r="E696" s="21"/>
      <c r="F696" s="31"/>
    </row>
    <row r="697">
      <c r="D697" s="31"/>
      <c r="E697" s="21"/>
      <c r="F697" s="31"/>
    </row>
    <row r="698">
      <c r="D698" s="31"/>
      <c r="E698" s="21"/>
      <c r="F698" s="31"/>
    </row>
    <row r="699">
      <c r="D699" s="31"/>
      <c r="E699" s="21"/>
      <c r="F699" s="31"/>
    </row>
    <row r="700">
      <c r="D700" s="31"/>
      <c r="E700" s="21"/>
      <c r="F700" s="31"/>
    </row>
    <row r="701">
      <c r="D701" s="31"/>
      <c r="E701" s="21"/>
      <c r="F701" s="31"/>
    </row>
    <row r="702">
      <c r="D702" s="31"/>
      <c r="E702" s="21"/>
      <c r="F702" s="31"/>
    </row>
    <row r="703">
      <c r="D703" s="31"/>
      <c r="E703" s="21"/>
      <c r="F703" s="31"/>
    </row>
    <row r="704">
      <c r="D704" s="31"/>
      <c r="E704" s="21"/>
      <c r="F704" s="31"/>
    </row>
    <row r="705">
      <c r="D705" s="31"/>
      <c r="E705" s="21"/>
      <c r="F705" s="31"/>
    </row>
    <row r="706">
      <c r="D706" s="31"/>
      <c r="E706" s="21"/>
      <c r="F706" s="31"/>
    </row>
    <row r="707">
      <c r="D707" s="31"/>
      <c r="E707" s="21"/>
      <c r="F707" s="31"/>
    </row>
    <row r="708">
      <c r="D708" s="31"/>
      <c r="E708" s="21"/>
      <c r="F708" s="31"/>
    </row>
    <row r="709">
      <c r="D709" s="31"/>
      <c r="E709" s="21"/>
      <c r="F709" s="31"/>
    </row>
    <row r="710">
      <c r="D710" s="31"/>
      <c r="E710" s="21"/>
      <c r="F710" s="31"/>
    </row>
    <row r="711">
      <c r="D711" s="31"/>
      <c r="E711" s="21"/>
      <c r="F711" s="31"/>
    </row>
    <row r="712">
      <c r="D712" s="31"/>
      <c r="E712" s="21"/>
      <c r="F712" s="31"/>
    </row>
    <row r="713">
      <c r="D713" s="31"/>
      <c r="E713" s="21"/>
      <c r="F713" s="31"/>
    </row>
    <row r="714">
      <c r="D714" s="31"/>
      <c r="E714" s="21"/>
      <c r="F714" s="31"/>
    </row>
    <row r="715">
      <c r="D715" s="31"/>
      <c r="E715" s="21"/>
      <c r="F715" s="31"/>
    </row>
    <row r="716">
      <c r="D716" s="31"/>
      <c r="E716" s="21"/>
      <c r="F716" s="31"/>
    </row>
    <row r="717">
      <c r="D717" s="31"/>
      <c r="E717" s="21"/>
      <c r="F717" s="31"/>
    </row>
    <row r="718">
      <c r="D718" s="31"/>
      <c r="E718" s="21"/>
      <c r="F718" s="31"/>
    </row>
    <row r="719">
      <c r="D719" s="31"/>
      <c r="E719" s="21"/>
      <c r="F719" s="31"/>
    </row>
    <row r="720">
      <c r="D720" s="31"/>
      <c r="E720" s="21"/>
      <c r="F720" s="31"/>
    </row>
    <row r="721">
      <c r="D721" s="31"/>
      <c r="E721" s="21"/>
      <c r="F721" s="31"/>
    </row>
    <row r="722">
      <c r="D722" s="31"/>
      <c r="E722" s="21"/>
      <c r="F722" s="31"/>
    </row>
    <row r="723">
      <c r="D723" s="31"/>
      <c r="E723" s="21"/>
      <c r="F723" s="31"/>
    </row>
    <row r="724">
      <c r="D724" s="31"/>
      <c r="E724" s="21"/>
      <c r="F724" s="31"/>
    </row>
    <row r="725">
      <c r="D725" s="31"/>
      <c r="E725" s="21"/>
      <c r="F725" s="31"/>
    </row>
    <row r="726">
      <c r="D726" s="31"/>
      <c r="E726" s="21"/>
      <c r="F726" s="31"/>
    </row>
    <row r="727">
      <c r="D727" s="31"/>
      <c r="E727" s="21"/>
      <c r="F727" s="31"/>
    </row>
    <row r="728">
      <c r="D728" s="31"/>
      <c r="E728" s="21"/>
      <c r="F728" s="31"/>
    </row>
    <row r="729">
      <c r="D729" s="31"/>
      <c r="E729" s="21"/>
      <c r="F729" s="31"/>
    </row>
    <row r="730">
      <c r="D730" s="31"/>
      <c r="E730" s="21"/>
      <c r="F730" s="31"/>
    </row>
    <row r="731">
      <c r="D731" s="31"/>
      <c r="E731" s="21"/>
      <c r="F731" s="31"/>
    </row>
    <row r="732">
      <c r="D732" s="31"/>
      <c r="E732" s="21"/>
      <c r="F732" s="31"/>
    </row>
    <row r="733">
      <c r="D733" s="31"/>
      <c r="E733" s="21"/>
      <c r="F733" s="31"/>
    </row>
    <row r="734">
      <c r="D734" s="31"/>
      <c r="E734" s="21"/>
      <c r="F734" s="31"/>
    </row>
    <row r="735">
      <c r="D735" s="31"/>
      <c r="E735" s="21"/>
      <c r="F735" s="31"/>
    </row>
    <row r="736">
      <c r="D736" s="31"/>
      <c r="E736" s="21"/>
      <c r="F736" s="31"/>
    </row>
    <row r="737">
      <c r="D737" s="31"/>
      <c r="E737" s="21"/>
      <c r="F737" s="31"/>
    </row>
    <row r="738">
      <c r="D738" s="31"/>
      <c r="E738" s="21"/>
      <c r="F738" s="31"/>
    </row>
    <row r="739">
      <c r="D739" s="31"/>
      <c r="E739" s="21"/>
      <c r="F739" s="31"/>
    </row>
    <row r="740">
      <c r="D740" s="31"/>
      <c r="E740" s="21"/>
      <c r="F740" s="31"/>
    </row>
    <row r="741">
      <c r="D741" s="31"/>
      <c r="E741" s="21"/>
      <c r="F741" s="31"/>
    </row>
    <row r="742">
      <c r="D742" s="31"/>
      <c r="E742" s="21"/>
      <c r="F742" s="31"/>
    </row>
    <row r="743">
      <c r="D743" s="31"/>
      <c r="E743" s="21"/>
      <c r="F743" s="31"/>
    </row>
    <row r="744">
      <c r="D744" s="31"/>
      <c r="E744" s="21"/>
      <c r="F744" s="31"/>
    </row>
    <row r="745">
      <c r="D745" s="31"/>
      <c r="E745" s="21"/>
      <c r="F745" s="31"/>
    </row>
    <row r="746">
      <c r="D746" s="31"/>
      <c r="E746" s="21"/>
      <c r="F746" s="31"/>
    </row>
    <row r="747">
      <c r="D747" s="31"/>
      <c r="E747" s="21"/>
      <c r="F747" s="31"/>
    </row>
    <row r="748">
      <c r="D748" s="31"/>
      <c r="E748" s="21"/>
      <c r="F748" s="31"/>
    </row>
    <row r="749">
      <c r="D749" s="31"/>
      <c r="E749" s="21"/>
      <c r="F749" s="31"/>
    </row>
    <row r="750">
      <c r="D750" s="31"/>
      <c r="E750" s="21"/>
      <c r="F750" s="31"/>
    </row>
    <row r="751">
      <c r="D751" s="31"/>
      <c r="E751" s="21"/>
      <c r="F751" s="31"/>
    </row>
    <row r="752">
      <c r="D752" s="31"/>
      <c r="E752" s="21"/>
      <c r="F752" s="31"/>
    </row>
    <row r="753">
      <c r="D753" s="31"/>
      <c r="E753" s="21"/>
      <c r="F753" s="31"/>
    </row>
    <row r="754">
      <c r="D754" s="31"/>
      <c r="E754" s="21"/>
      <c r="F754" s="31"/>
    </row>
    <row r="755">
      <c r="D755" s="31"/>
      <c r="E755" s="21"/>
      <c r="F755" s="31"/>
    </row>
    <row r="756">
      <c r="D756" s="31"/>
      <c r="E756" s="21"/>
      <c r="F756" s="31"/>
    </row>
    <row r="757">
      <c r="D757" s="31"/>
      <c r="E757" s="21"/>
      <c r="F757" s="31"/>
    </row>
    <row r="758">
      <c r="D758" s="31"/>
      <c r="E758" s="21"/>
      <c r="F758" s="31"/>
    </row>
    <row r="759">
      <c r="D759" s="31"/>
      <c r="E759" s="21"/>
      <c r="F759" s="31"/>
    </row>
    <row r="760">
      <c r="D760" s="31"/>
      <c r="E760" s="21"/>
      <c r="F760" s="31"/>
    </row>
    <row r="761">
      <c r="D761" s="31"/>
      <c r="E761" s="21"/>
      <c r="F761" s="31"/>
    </row>
    <row r="762">
      <c r="D762" s="31"/>
      <c r="E762" s="21"/>
      <c r="F762" s="31"/>
    </row>
    <row r="763">
      <c r="D763" s="31"/>
      <c r="E763" s="21"/>
      <c r="F763" s="31"/>
    </row>
    <row r="764">
      <c r="D764" s="31"/>
      <c r="E764" s="21"/>
      <c r="F764" s="31"/>
    </row>
    <row r="765">
      <c r="D765" s="31"/>
      <c r="E765" s="21"/>
      <c r="F765" s="31"/>
    </row>
    <row r="766">
      <c r="D766" s="31"/>
      <c r="E766" s="21"/>
      <c r="F766" s="31"/>
    </row>
    <row r="767">
      <c r="D767" s="31"/>
      <c r="E767" s="21"/>
      <c r="F767" s="31"/>
    </row>
    <row r="768">
      <c r="D768" s="31"/>
      <c r="E768" s="21"/>
      <c r="F768" s="31"/>
    </row>
    <row r="769">
      <c r="D769" s="31"/>
      <c r="E769" s="21"/>
      <c r="F769" s="31"/>
    </row>
    <row r="770">
      <c r="D770" s="31"/>
      <c r="E770" s="21"/>
      <c r="F770" s="31"/>
    </row>
    <row r="771">
      <c r="D771" s="31"/>
      <c r="E771" s="21"/>
      <c r="F771" s="31"/>
    </row>
    <row r="772">
      <c r="D772" s="31"/>
      <c r="E772" s="21"/>
      <c r="F772" s="31"/>
    </row>
    <row r="773">
      <c r="D773" s="31"/>
      <c r="E773" s="21"/>
      <c r="F773" s="31"/>
    </row>
    <row r="774">
      <c r="D774" s="31"/>
      <c r="E774" s="21"/>
      <c r="F774" s="31"/>
    </row>
    <row r="775">
      <c r="D775" s="31"/>
      <c r="E775" s="21"/>
      <c r="F775" s="31"/>
    </row>
    <row r="776">
      <c r="D776" s="31"/>
      <c r="E776" s="21"/>
      <c r="F776" s="31"/>
    </row>
    <row r="777">
      <c r="D777" s="31"/>
      <c r="E777" s="21"/>
      <c r="F777" s="31"/>
    </row>
    <row r="778">
      <c r="D778" s="31"/>
      <c r="E778" s="21"/>
      <c r="F778" s="31"/>
    </row>
    <row r="779">
      <c r="D779" s="31"/>
      <c r="E779" s="21"/>
      <c r="F779" s="31"/>
    </row>
    <row r="780">
      <c r="D780" s="31"/>
      <c r="E780" s="21"/>
      <c r="F780" s="31"/>
    </row>
    <row r="781">
      <c r="D781" s="31"/>
      <c r="E781" s="21"/>
      <c r="F781" s="31"/>
    </row>
    <row r="782">
      <c r="D782" s="31"/>
      <c r="E782" s="21"/>
      <c r="F782" s="31"/>
    </row>
    <row r="783">
      <c r="D783" s="31"/>
      <c r="E783" s="21"/>
      <c r="F783" s="31"/>
    </row>
    <row r="784">
      <c r="D784" s="31"/>
      <c r="E784" s="21"/>
      <c r="F784" s="31"/>
    </row>
    <row r="785">
      <c r="D785" s="31"/>
      <c r="E785" s="21"/>
      <c r="F785" s="31"/>
    </row>
    <row r="786">
      <c r="D786" s="31"/>
      <c r="E786" s="21"/>
      <c r="F786" s="31"/>
    </row>
    <row r="787">
      <c r="D787" s="31"/>
      <c r="E787" s="21"/>
      <c r="F787" s="31"/>
    </row>
    <row r="788">
      <c r="D788" s="31"/>
      <c r="E788" s="21"/>
      <c r="F788" s="31"/>
    </row>
    <row r="789">
      <c r="D789" s="31"/>
      <c r="E789" s="21"/>
      <c r="F789" s="31"/>
    </row>
    <row r="790">
      <c r="D790" s="31"/>
      <c r="E790" s="21"/>
      <c r="F790" s="31"/>
    </row>
    <row r="791">
      <c r="D791" s="31"/>
      <c r="E791" s="21"/>
      <c r="F791" s="31"/>
    </row>
    <row r="792">
      <c r="D792" s="31"/>
      <c r="E792" s="21"/>
      <c r="F792" s="31"/>
    </row>
    <row r="793">
      <c r="D793" s="31"/>
      <c r="E793" s="21"/>
      <c r="F793" s="31"/>
    </row>
    <row r="794">
      <c r="D794" s="31"/>
      <c r="E794" s="21"/>
      <c r="F794" s="31"/>
    </row>
    <row r="795">
      <c r="D795" s="31"/>
      <c r="E795" s="21"/>
      <c r="F795" s="31"/>
    </row>
    <row r="796">
      <c r="D796" s="31"/>
      <c r="E796" s="21"/>
      <c r="F796" s="31"/>
    </row>
    <row r="797">
      <c r="D797" s="31"/>
      <c r="E797" s="21"/>
      <c r="F797" s="31"/>
    </row>
    <row r="798">
      <c r="D798" s="31"/>
      <c r="E798" s="21"/>
      <c r="F798" s="31"/>
    </row>
    <row r="799">
      <c r="D799" s="31"/>
      <c r="E799" s="21"/>
      <c r="F799" s="31"/>
    </row>
    <row r="800">
      <c r="D800" s="31"/>
      <c r="E800" s="21"/>
      <c r="F800" s="31"/>
    </row>
    <row r="801">
      <c r="D801" s="31"/>
      <c r="E801" s="21"/>
      <c r="F801" s="31"/>
    </row>
    <row r="802">
      <c r="D802" s="31"/>
      <c r="E802" s="21"/>
      <c r="F802" s="31"/>
    </row>
    <row r="803">
      <c r="D803" s="31"/>
      <c r="E803" s="21"/>
      <c r="F803" s="31"/>
    </row>
    <row r="804">
      <c r="D804" s="31"/>
      <c r="E804" s="21"/>
      <c r="F804" s="31"/>
    </row>
    <row r="805">
      <c r="D805" s="31"/>
      <c r="E805" s="21"/>
      <c r="F805" s="31"/>
    </row>
    <row r="806">
      <c r="D806" s="31"/>
      <c r="E806" s="21"/>
      <c r="F806" s="31"/>
    </row>
    <row r="807">
      <c r="D807" s="31"/>
      <c r="E807" s="21"/>
      <c r="F807" s="31"/>
    </row>
    <row r="808">
      <c r="D808" s="31"/>
      <c r="E808" s="21"/>
      <c r="F808" s="31"/>
    </row>
    <row r="809">
      <c r="D809" s="31"/>
      <c r="E809" s="21"/>
      <c r="F809" s="31"/>
    </row>
    <row r="810">
      <c r="D810" s="31"/>
      <c r="E810" s="21"/>
      <c r="F810" s="31"/>
    </row>
    <row r="811">
      <c r="D811" s="31"/>
      <c r="E811" s="21"/>
      <c r="F811" s="31"/>
    </row>
    <row r="812">
      <c r="D812" s="31"/>
      <c r="E812" s="21"/>
      <c r="F812" s="31"/>
    </row>
    <row r="813">
      <c r="D813" s="31"/>
      <c r="E813" s="21"/>
      <c r="F813" s="31"/>
    </row>
    <row r="814">
      <c r="D814" s="31"/>
      <c r="E814" s="21"/>
      <c r="F814" s="31"/>
    </row>
    <row r="815">
      <c r="D815" s="31"/>
      <c r="E815" s="21"/>
      <c r="F815" s="31"/>
    </row>
    <row r="816">
      <c r="D816" s="31"/>
      <c r="E816" s="21"/>
      <c r="F816" s="31"/>
    </row>
    <row r="817">
      <c r="D817" s="31"/>
      <c r="E817" s="21"/>
      <c r="F817" s="31"/>
    </row>
    <row r="818">
      <c r="D818" s="31"/>
      <c r="E818" s="21"/>
      <c r="F818" s="31"/>
    </row>
    <row r="819">
      <c r="D819" s="31"/>
      <c r="E819" s="21"/>
      <c r="F819" s="31"/>
    </row>
    <row r="820">
      <c r="D820" s="31"/>
      <c r="E820" s="21"/>
      <c r="F820" s="31"/>
    </row>
    <row r="821">
      <c r="D821" s="31"/>
      <c r="E821" s="21"/>
      <c r="F821" s="31"/>
    </row>
    <row r="822">
      <c r="D822" s="31"/>
      <c r="E822" s="21"/>
      <c r="F822" s="31"/>
    </row>
    <row r="823">
      <c r="D823" s="31"/>
      <c r="E823" s="21"/>
      <c r="F823" s="31"/>
    </row>
    <row r="824">
      <c r="D824" s="31"/>
      <c r="E824" s="21"/>
      <c r="F824" s="31"/>
    </row>
    <row r="825">
      <c r="D825" s="31"/>
      <c r="E825" s="21"/>
      <c r="F825" s="31"/>
    </row>
    <row r="826">
      <c r="D826" s="31"/>
      <c r="E826" s="21"/>
      <c r="F826" s="31"/>
    </row>
    <row r="827">
      <c r="D827" s="31"/>
      <c r="E827" s="21"/>
      <c r="F827" s="31"/>
    </row>
    <row r="828">
      <c r="D828" s="31"/>
      <c r="E828" s="21"/>
      <c r="F828" s="31"/>
    </row>
    <row r="829">
      <c r="D829" s="31"/>
      <c r="E829" s="21"/>
      <c r="F829" s="31"/>
    </row>
    <row r="830">
      <c r="D830" s="31"/>
      <c r="E830" s="21"/>
      <c r="F830" s="31"/>
    </row>
    <row r="831">
      <c r="D831" s="31"/>
      <c r="E831" s="21"/>
      <c r="F831" s="31"/>
    </row>
    <row r="832">
      <c r="D832" s="31"/>
      <c r="E832" s="21"/>
      <c r="F832" s="31"/>
    </row>
    <row r="833">
      <c r="D833" s="31"/>
      <c r="E833" s="21"/>
      <c r="F833" s="31"/>
    </row>
    <row r="834">
      <c r="D834" s="31"/>
      <c r="E834" s="21"/>
      <c r="F834" s="31"/>
    </row>
    <row r="835">
      <c r="D835" s="31"/>
      <c r="E835" s="21"/>
      <c r="F835" s="31"/>
    </row>
    <row r="836">
      <c r="D836" s="31"/>
      <c r="E836" s="21"/>
      <c r="F836" s="31"/>
    </row>
    <row r="837">
      <c r="D837" s="31"/>
      <c r="E837" s="21"/>
      <c r="F837" s="31"/>
    </row>
    <row r="838">
      <c r="D838" s="31"/>
      <c r="E838" s="21"/>
      <c r="F838" s="31"/>
    </row>
    <row r="839">
      <c r="D839" s="31"/>
      <c r="E839" s="21"/>
      <c r="F839" s="31"/>
    </row>
    <row r="840">
      <c r="D840" s="31"/>
      <c r="E840" s="21"/>
      <c r="F840" s="31"/>
    </row>
    <row r="841">
      <c r="D841" s="31"/>
      <c r="E841" s="21"/>
      <c r="F841" s="31"/>
    </row>
    <row r="842">
      <c r="D842" s="31"/>
      <c r="E842" s="21"/>
      <c r="F842" s="31"/>
    </row>
    <row r="843">
      <c r="D843" s="31"/>
      <c r="E843" s="21"/>
      <c r="F843" s="31"/>
    </row>
    <row r="844">
      <c r="D844" s="31"/>
      <c r="E844" s="21"/>
      <c r="F844" s="31"/>
    </row>
    <row r="845">
      <c r="D845" s="31"/>
      <c r="E845" s="21"/>
      <c r="F845" s="31"/>
    </row>
    <row r="846">
      <c r="D846" s="31"/>
      <c r="E846" s="21"/>
      <c r="F846" s="31"/>
    </row>
    <row r="847">
      <c r="D847" s="31"/>
      <c r="E847" s="21"/>
      <c r="F847" s="31"/>
    </row>
    <row r="848">
      <c r="D848" s="31"/>
      <c r="E848" s="21"/>
      <c r="F848" s="31"/>
    </row>
    <row r="849">
      <c r="D849" s="31"/>
      <c r="E849" s="21"/>
      <c r="F849" s="31"/>
    </row>
    <row r="850">
      <c r="D850" s="31"/>
      <c r="E850" s="21"/>
      <c r="F850" s="31"/>
    </row>
    <row r="851">
      <c r="D851" s="31"/>
      <c r="E851" s="21"/>
      <c r="F851" s="31"/>
    </row>
    <row r="852">
      <c r="D852" s="31"/>
      <c r="E852" s="21"/>
      <c r="F852" s="31"/>
    </row>
    <row r="853">
      <c r="D853" s="31"/>
      <c r="E853" s="21"/>
      <c r="F853" s="31"/>
    </row>
    <row r="854">
      <c r="D854" s="31"/>
      <c r="E854" s="21"/>
      <c r="F854" s="31"/>
    </row>
    <row r="855">
      <c r="D855" s="31"/>
      <c r="E855" s="21"/>
      <c r="F855" s="31"/>
    </row>
    <row r="856">
      <c r="D856" s="31"/>
      <c r="E856" s="21"/>
      <c r="F856" s="31"/>
    </row>
    <row r="857">
      <c r="D857" s="31"/>
      <c r="E857" s="21"/>
      <c r="F857" s="31"/>
    </row>
    <row r="858">
      <c r="D858" s="31"/>
      <c r="E858" s="21"/>
      <c r="F858" s="31"/>
    </row>
    <row r="859">
      <c r="D859" s="31"/>
      <c r="E859" s="21"/>
      <c r="F859" s="31"/>
    </row>
    <row r="860">
      <c r="D860" s="31"/>
      <c r="E860" s="21"/>
      <c r="F860" s="31"/>
    </row>
    <row r="861">
      <c r="D861" s="31"/>
      <c r="E861" s="21"/>
      <c r="F861" s="31"/>
    </row>
    <row r="862">
      <c r="D862" s="31"/>
      <c r="E862" s="21"/>
      <c r="F862" s="31"/>
    </row>
    <row r="863">
      <c r="D863" s="31"/>
      <c r="E863" s="21"/>
      <c r="F863" s="31"/>
    </row>
    <row r="864">
      <c r="D864" s="31"/>
      <c r="E864" s="21"/>
      <c r="F864" s="31"/>
    </row>
    <row r="865">
      <c r="D865" s="31"/>
      <c r="E865" s="21"/>
      <c r="F865" s="31"/>
    </row>
    <row r="866">
      <c r="D866" s="31"/>
      <c r="E866" s="21"/>
      <c r="F866" s="31"/>
    </row>
    <row r="867">
      <c r="D867" s="31"/>
      <c r="E867" s="21"/>
      <c r="F867" s="31"/>
    </row>
    <row r="868">
      <c r="D868" s="31"/>
      <c r="E868" s="21"/>
      <c r="F868" s="31"/>
    </row>
    <row r="869">
      <c r="D869" s="31"/>
      <c r="E869" s="21"/>
      <c r="F869" s="31"/>
    </row>
    <row r="870">
      <c r="D870" s="31"/>
      <c r="E870" s="21"/>
      <c r="F870" s="31"/>
    </row>
    <row r="871">
      <c r="D871" s="31"/>
      <c r="E871" s="21"/>
      <c r="F871" s="31"/>
    </row>
    <row r="872">
      <c r="D872" s="31"/>
      <c r="E872" s="21"/>
      <c r="F872" s="31"/>
    </row>
    <row r="873">
      <c r="D873" s="31"/>
      <c r="E873" s="21"/>
      <c r="F873" s="31"/>
    </row>
    <row r="874">
      <c r="D874" s="31"/>
      <c r="E874" s="21"/>
      <c r="F874" s="31"/>
    </row>
    <row r="875">
      <c r="D875" s="31"/>
      <c r="E875" s="21"/>
      <c r="F875" s="31"/>
    </row>
    <row r="876">
      <c r="D876" s="31"/>
      <c r="E876" s="21"/>
      <c r="F876" s="31"/>
    </row>
    <row r="877">
      <c r="D877" s="31"/>
      <c r="E877" s="21"/>
      <c r="F877" s="31"/>
    </row>
    <row r="878">
      <c r="D878" s="31"/>
      <c r="E878" s="21"/>
      <c r="F878" s="31"/>
    </row>
    <row r="879">
      <c r="D879" s="31"/>
      <c r="E879" s="21"/>
      <c r="F879" s="31"/>
    </row>
    <row r="880">
      <c r="D880" s="31"/>
      <c r="E880" s="21"/>
      <c r="F880" s="31"/>
    </row>
    <row r="881">
      <c r="D881" s="31"/>
      <c r="E881" s="21"/>
      <c r="F881" s="31"/>
    </row>
    <row r="882">
      <c r="D882" s="31"/>
      <c r="E882" s="21"/>
      <c r="F882" s="31"/>
    </row>
    <row r="883">
      <c r="D883" s="31"/>
      <c r="E883" s="21"/>
      <c r="F883" s="31"/>
    </row>
    <row r="884">
      <c r="D884" s="31"/>
      <c r="E884" s="21"/>
      <c r="F884" s="31"/>
    </row>
    <row r="885">
      <c r="D885" s="31"/>
      <c r="E885" s="21"/>
      <c r="F885" s="31"/>
    </row>
    <row r="886">
      <c r="D886" s="31"/>
      <c r="E886" s="21"/>
      <c r="F886" s="31"/>
    </row>
    <row r="887">
      <c r="D887" s="31"/>
      <c r="E887" s="21"/>
      <c r="F887" s="31"/>
    </row>
    <row r="888">
      <c r="D888" s="31"/>
      <c r="E888" s="21"/>
      <c r="F888" s="31"/>
    </row>
    <row r="889">
      <c r="D889" s="31"/>
      <c r="E889" s="21"/>
      <c r="F889" s="31"/>
    </row>
    <row r="890">
      <c r="D890" s="31"/>
      <c r="E890" s="21"/>
      <c r="F890" s="31"/>
    </row>
    <row r="891">
      <c r="D891" s="31"/>
      <c r="E891" s="21"/>
      <c r="F891" s="31"/>
    </row>
    <row r="892">
      <c r="D892" s="31"/>
      <c r="E892" s="21"/>
      <c r="F892" s="31"/>
    </row>
    <row r="893">
      <c r="D893" s="31"/>
      <c r="E893" s="21"/>
      <c r="F893" s="31"/>
    </row>
    <row r="894">
      <c r="D894" s="31"/>
      <c r="E894" s="21"/>
      <c r="F894" s="31"/>
    </row>
    <row r="895">
      <c r="D895" s="31"/>
      <c r="E895" s="21"/>
      <c r="F895" s="31"/>
    </row>
    <row r="896">
      <c r="D896" s="31"/>
      <c r="E896" s="21"/>
      <c r="F896" s="31"/>
    </row>
    <row r="897">
      <c r="D897" s="31"/>
      <c r="E897" s="21"/>
      <c r="F897" s="31"/>
    </row>
    <row r="898">
      <c r="D898" s="31"/>
      <c r="E898" s="21"/>
      <c r="F898" s="31"/>
    </row>
    <row r="899">
      <c r="D899" s="31"/>
      <c r="E899" s="21"/>
      <c r="F899" s="31"/>
    </row>
    <row r="900">
      <c r="D900" s="31"/>
      <c r="E900" s="21"/>
      <c r="F900" s="31"/>
    </row>
    <row r="901">
      <c r="D901" s="31"/>
      <c r="E901" s="21"/>
      <c r="F901" s="31"/>
    </row>
    <row r="902">
      <c r="D902" s="31"/>
      <c r="E902" s="21"/>
      <c r="F902" s="31"/>
    </row>
    <row r="903">
      <c r="D903" s="31"/>
      <c r="E903" s="21"/>
      <c r="F903" s="31"/>
    </row>
    <row r="904">
      <c r="D904" s="31"/>
      <c r="E904" s="21"/>
      <c r="F904" s="31"/>
    </row>
    <row r="905">
      <c r="D905" s="31"/>
      <c r="E905" s="21"/>
      <c r="F905" s="31"/>
    </row>
    <row r="906">
      <c r="D906" s="31"/>
      <c r="E906" s="21"/>
      <c r="F906" s="31"/>
    </row>
    <row r="907">
      <c r="D907" s="31"/>
      <c r="E907" s="21"/>
      <c r="F907" s="31"/>
    </row>
    <row r="908">
      <c r="D908" s="31"/>
      <c r="E908" s="21"/>
      <c r="F908" s="31"/>
    </row>
    <row r="909">
      <c r="D909" s="31"/>
      <c r="E909" s="21"/>
      <c r="F909" s="31"/>
    </row>
    <row r="910">
      <c r="D910" s="31"/>
      <c r="E910" s="21"/>
      <c r="F910" s="31"/>
    </row>
    <row r="911">
      <c r="D911" s="31"/>
      <c r="E911" s="21"/>
      <c r="F911" s="31"/>
    </row>
    <row r="912">
      <c r="D912" s="31"/>
      <c r="E912" s="21"/>
      <c r="F912" s="31"/>
    </row>
    <row r="913">
      <c r="D913" s="31"/>
      <c r="E913" s="21"/>
      <c r="F913" s="31"/>
    </row>
    <row r="914">
      <c r="D914" s="31"/>
      <c r="E914" s="21"/>
      <c r="F914" s="31"/>
    </row>
    <row r="915">
      <c r="D915" s="31"/>
      <c r="E915" s="21"/>
      <c r="F915" s="31"/>
    </row>
    <row r="916">
      <c r="D916" s="31"/>
      <c r="E916" s="21"/>
      <c r="F916" s="31"/>
    </row>
    <row r="917">
      <c r="D917" s="31"/>
      <c r="E917" s="21"/>
      <c r="F917" s="31"/>
    </row>
    <row r="918">
      <c r="D918" s="31"/>
      <c r="E918" s="21"/>
      <c r="F918" s="31"/>
    </row>
    <row r="919">
      <c r="D919" s="31"/>
      <c r="E919" s="21"/>
      <c r="F919" s="31"/>
    </row>
    <row r="920">
      <c r="D920" s="31"/>
      <c r="E920" s="21"/>
      <c r="F920" s="31"/>
    </row>
    <row r="921">
      <c r="D921" s="31"/>
      <c r="E921" s="21"/>
      <c r="F921" s="31"/>
    </row>
    <row r="922">
      <c r="D922" s="31"/>
      <c r="E922" s="21"/>
      <c r="F922" s="31"/>
    </row>
    <row r="923">
      <c r="D923" s="31"/>
      <c r="E923" s="21"/>
      <c r="F923" s="31"/>
    </row>
    <row r="924">
      <c r="D924" s="31"/>
      <c r="E924" s="21"/>
      <c r="F924" s="31"/>
    </row>
    <row r="925">
      <c r="D925" s="31"/>
      <c r="E925" s="21"/>
      <c r="F925" s="31"/>
    </row>
    <row r="926">
      <c r="D926" s="31"/>
      <c r="E926" s="21"/>
      <c r="F926" s="31"/>
    </row>
    <row r="927">
      <c r="D927" s="31"/>
      <c r="E927" s="21"/>
      <c r="F927" s="31"/>
    </row>
    <row r="928">
      <c r="D928" s="31"/>
      <c r="E928" s="21"/>
      <c r="F928" s="31"/>
    </row>
    <row r="929">
      <c r="D929" s="31"/>
      <c r="E929" s="21"/>
      <c r="F929" s="31"/>
    </row>
    <row r="930">
      <c r="D930" s="31"/>
      <c r="E930" s="21"/>
      <c r="F930" s="31"/>
    </row>
    <row r="931">
      <c r="D931" s="31"/>
      <c r="E931" s="21"/>
      <c r="F931" s="31"/>
    </row>
    <row r="932">
      <c r="D932" s="31"/>
      <c r="E932" s="21"/>
      <c r="F932" s="31"/>
    </row>
    <row r="933">
      <c r="D933" s="31"/>
      <c r="E933" s="21"/>
      <c r="F933" s="31"/>
    </row>
    <row r="934">
      <c r="D934" s="31"/>
      <c r="E934" s="21"/>
      <c r="F934" s="31"/>
    </row>
    <row r="935">
      <c r="D935" s="31"/>
      <c r="E935" s="21"/>
      <c r="F935" s="31"/>
    </row>
    <row r="936">
      <c r="D936" s="31"/>
      <c r="E936" s="21"/>
      <c r="F936" s="31"/>
    </row>
    <row r="937">
      <c r="D937" s="31"/>
      <c r="E937" s="21"/>
      <c r="F937" s="31"/>
    </row>
    <row r="938">
      <c r="D938" s="31"/>
      <c r="E938" s="21"/>
      <c r="F938" s="31"/>
    </row>
    <row r="939">
      <c r="D939" s="31"/>
      <c r="E939" s="21"/>
      <c r="F939" s="31"/>
    </row>
    <row r="940">
      <c r="D940" s="31"/>
      <c r="E940" s="21"/>
      <c r="F940" s="31"/>
    </row>
    <row r="941">
      <c r="D941" s="31"/>
      <c r="E941" s="21"/>
      <c r="F941" s="31"/>
    </row>
    <row r="942">
      <c r="D942" s="31"/>
      <c r="E942" s="21"/>
      <c r="F942" s="31"/>
    </row>
    <row r="943">
      <c r="D943" s="31"/>
      <c r="E943" s="21"/>
      <c r="F943" s="31"/>
    </row>
    <row r="944">
      <c r="D944" s="31"/>
      <c r="E944" s="21"/>
      <c r="F944" s="31"/>
    </row>
    <row r="945">
      <c r="D945" s="31"/>
      <c r="E945" s="21"/>
      <c r="F945" s="31"/>
    </row>
    <row r="946">
      <c r="D946" s="31"/>
      <c r="E946" s="21"/>
      <c r="F946" s="31"/>
    </row>
    <row r="947">
      <c r="D947" s="31"/>
      <c r="E947" s="21"/>
      <c r="F947" s="31"/>
    </row>
    <row r="948">
      <c r="D948" s="31"/>
      <c r="E948" s="21"/>
      <c r="F948" s="31"/>
    </row>
    <row r="949">
      <c r="D949" s="31"/>
      <c r="E949" s="21"/>
      <c r="F949" s="31"/>
    </row>
    <row r="950">
      <c r="D950" s="31"/>
      <c r="E950" s="21"/>
      <c r="F950" s="31"/>
    </row>
    <row r="951">
      <c r="D951" s="31"/>
      <c r="E951" s="21"/>
      <c r="F951" s="31"/>
    </row>
    <row r="952">
      <c r="D952" s="31"/>
      <c r="E952" s="21"/>
      <c r="F952" s="31"/>
    </row>
    <row r="953">
      <c r="D953" s="31"/>
      <c r="E953" s="21"/>
      <c r="F953" s="31"/>
    </row>
    <row r="954">
      <c r="D954" s="31"/>
      <c r="E954" s="21"/>
      <c r="F954" s="31"/>
    </row>
    <row r="955">
      <c r="D955" s="31"/>
      <c r="E955" s="21"/>
      <c r="F955" s="31"/>
    </row>
    <row r="956">
      <c r="D956" s="31"/>
      <c r="E956" s="21"/>
      <c r="F956" s="31"/>
    </row>
    <row r="957">
      <c r="D957" s="31"/>
      <c r="E957" s="21"/>
      <c r="F957" s="31"/>
    </row>
    <row r="958">
      <c r="D958" s="31"/>
      <c r="E958" s="21"/>
      <c r="F958" s="31"/>
    </row>
    <row r="959">
      <c r="D959" s="31"/>
      <c r="E959" s="21"/>
      <c r="F959" s="31"/>
    </row>
    <row r="960">
      <c r="D960" s="31"/>
      <c r="E960" s="21"/>
      <c r="F960" s="31"/>
    </row>
    <row r="961">
      <c r="D961" s="31"/>
      <c r="E961" s="21"/>
      <c r="F961" s="31"/>
    </row>
    <row r="962">
      <c r="D962" s="31"/>
      <c r="E962" s="21"/>
      <c r="F962" s="31"/>
    </row>
    <row r="963">
      <c r="D963" s="31"/>
      <c r="E963" s="21"/>
      <c r="F963" s="31"/>
    </row>
    <row r="964">
      <c r="D964" s="31"/>
      <c r="E964" s="21"/>
      <c r="F964" s="31"/>
    </row>
    <row r="965">
      <c r="D965" s="31"/>
      <c r="E965" s="21"/>
      <c r="F965" s="31"/>
    </row>
    <row r="966">
      <c r="D966" s="31"/>
      <c r="E966" s="21"/>
      <c r="F966" s="31"/>
    </row>
    <row r="967">
      <c r="D967" s="31"/>
      <c r="E967" s="21"/>
      <c r="F967" s="31"/>
    </row>
    <row r="968">
      <c r="D968" s="31"/>
      <c r="E968" s="21"/>
      <c r="F968" s="31"/>
    </row>
    <row r="969">
      <c r="D969" s="31"/>
      <c r="E969" s="21"/>
      <c r="F969" s="31"/>
    </row>
    <row r="970">
      <c r="D970" s="31"/>
      <c r="E970" s="21"/>
      <c r="F970" s="31"/>
    </row>
    <row r="971">
      <c r="D971" s="31"/>
      <c r="E971" s="21"/>
      <c r="F971" s="31"/>
    </row>
    <row r="972">
      <c r="D972" s="31"/>
      <c r="E972" s="21"/>
      <c r="F972" s="31"/>
    </row>
    <row r="973">
      <c r="D973" s="31"/>
      <c r="E973" s="21"/>
      <c r="F973" s="31"/>
    </row>
    <row r="974">
      <c r="D974" s="31"/>
      <c r="E974" s="21"/>
      <c r="F974" s="31"/>
    </row>
    <row r="975">
      <c r="D975" s="31"/>
      <c r="E975" s="21"/>
      <c r="F975" s="31"/>
    </row>
    <row r="976">
      <c r="D976" s="31"/>
      <c r="E976" s="21"/>
      <c r="F976" s="31"/>
    </row>
    <row r="977">
      <c r="D977" s="31"/>
      <c r="E977" s="21"/>
      <c r="F977" s="31"/>
    </row>
    <row r="978">
      <c r="D978" s="31"/>
      <c r="E978" s="21"/>
      <c r="F978" s="31"/>
    </row>
    <row r="979">
      <c r="D979" s="31"/>
      <c r="E979" s="21"/>
      <c r="F979" s="31"/>
    </row>
    <row r="980">
      <c r="D980" s="31"/>
      <c r="E980" s="21"/>
      <c r="F980" s="31"/>
    </row>
    <row r="981">
      <c r="D981" s="31"/>
      <c r="E981" s="21"/>
      <c r="F981" s="31"/>
    </row>
    <row r="982">
      <c r="D982" s="31"/>
      <c r="E982" s="21"/>
      <c r="F982" s="31"/>
    </row>
    <row r="983">
      <c r="D983" s="31"/>
      <c r="E983" s="21"/>
      <c r="F983" s="31"/>
    </row>
    <row r="984">
      <c r="D984" s="31"/>
      <c r="E984" s="21"/>
      <c r="F984" s="31"/>
    </row>
    <row r="985">
      <c r="D985" s="31"/>
      <c r="E985" s="21"/>
      <c r="F985" s="31"/>
    </row>
    <row r="986">
      <c r="D986" s="31"/>
      <c r="E986" s="21"/>
      <c r="F986" s="31"/>
    </row>
    <row r="987">
      <c r="D987" s="31"/>
      <c r="E987" s="21"/>
      <c r="F987" s="31"/>
    </row>
    <row r="988">
      <c r="D988" s="31"/>
      <c r="E988" s="21"/>
      <c r="F988" s="31"/>
    </row>
    <row r="989">
      <c r="D989" s="31"/>
      <c r="E989" s="21"/>
      <c r="F989" s="31"/>
    </row>
    <row r="990">
      <c r="D990" s="31"/>
      <c r="E990" s="21"/>
      <c r="F990" s="31"/>
    </row>
    <row r="991">
      <c r="D991" s="31"/>
      <c r="E991" s="21"/>
      <c r="F991" s="31"/>
    </row>
    <row r="992">
      <c r="D992" s="31"/>
      <c r="E992" s="21"/>
      <c r="F992" s="31"/>
    </row>
    <row r="993">
      <c r="D993" s="31"/>
      <c r="E993" s="21"/>
      <c r="F993" s="31"/>
    </row>
    <row r="994">
      <c r="D994" s="31"/>
      <c r="E994" s="21"/>
      <c r="F994" s="31"/>
    </row>
    <row r="995">
      <c r="D995" s="31"/>
      <c r="E995" s="21"/>
      <c r="F995" s="31"/>
    </row>
    <row r="996">
      <c r="D996" s="31"/>
      <c r="E996" s="21"/>
      <c r="F996" s="31"/>
    </row>
    <row r="997">
      <c r="D997" s="31"/>
      <c r="E997" s="21"/>
      <c r="F997" s="31"/>
    </row>
    <row r="998">
      <c r="D998" s="31"/>
      <c r="E998" s="21"/>
      <c r="F998" s="31"/>
    </row>
    <row r="999">
      <c r="D999" s="31"/>
      <c r="E999" s="21"/>
      <c r="F999" s="31"/>
    </row>
    <row r="1000">
      <c r="D1000" s="31"/>
      <c r="E1000" s="21"/>
      <c r="F1000" s="31"/>
    </row>
    <row r="1001">
      <c r="D1001" s="31"/>
      <c r="E1001" s="21"/>
      <c r="F1001" s="31"/>
    </row>
    <row r="1002">
      <c r="D1002" s="31"/>
      <c r="E1002" s="21"/>
      <c r="F1002" s="31"/>
    </row>
    <row r="1003">
      <c r="D1003" s="31"/>
      <c r="E1003" s="21"/>
      <c r="F1003" s="31"/>
    </row>
  </sheetData>
  <mergeCells count="2">
    <mergeCell ref="B1:D1"/>
    <mergeCell ref="G2:G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hidden="1" min="1" max="2" width="12.63" outlineLevel="1"/>
    <col customWidth="1" min="3" max="3" width="3.5"/>
    <col customWidth="1" min="4" max="4" width="3.38"/>
    <col collapsed="1" min="11" max="11" width="12.63"/>
    <col hidden="1" min="12" max="13" width="12.63" outlineLevel="1"/>
    <col customWidth="1" min="14" max="14" width="3.5"/>
    <col customWidth="1" min="15" max="15" width="3.38"/>
    <col collapsed="1" min="22" max="22" width="12.63"/>
    <col hidden="1" min="23" max="24" width="12.63" outlineLevel="1"/>
  </cols>
  <sheetData>
    <row r="1">
      <c r="A1" s="32"/>
      <c r="B1" s="32"/>
      <c r="C1" s="32"/>
      <c r="D1" s="33"/>
      <c r="E1" s="33"/>
      <c r="F1" s="33"/>
      <c r="G1" s="33"/>
      <c r="H1" s="33"/>
      <c r="I1" s="33"/>
      <c r="J1" s="33"/>
      <c r="K1" s="33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>
      <c r="A2" s="32"/>
      <c r="B2" s="32"/>
      <c r="C2" s="32"/>
      <c r="D2" s="33"/>
      <c r="E2" s="34" t="s">
        <v>114</v>
      </c>
      <c r="F2" s="35" t="s">
        <v>115</v>
      </c>
      <c r="G2" s="36" t="s">
        <v>116</v>
      </c>
      <c r="H2" s="35" t="s">
        <v>117</v>
      </c>
      <c r="I2" s="33"/>
      <c r="J2" s="33"/>
      <c r="K2" s="33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>
      <c r="A3" s="32"/>
      <c r="B3" s="32"/>
      <c r="C3" s="32"/>
      <c r="D3" s="37"/>
      <c r="E3" s="32"/>
      <c r="F3" s="32"/>
      <c r="G3" s="32"/>
      <c r="H3" s="32"/>
      <c r="I3" s="32"/>
      <c r="J3" s="32"/>
      <c r="K3" s="32"/>
      <c r="L3" s="32"/>
      <c r="M3" s="32"/>
      <c r="N3" s="32"/>
      <c r="O3" s="37"/>
      <c r="P3" s="32"/>
      <c r="Q3" s="32"/>
      <c r="R3" s="32"/>
      <c r="S3" s="38"/>
      <c r="T3" s="32"/>
      <c r="U3" s="32"/>
      <c r="V3" s="32"/>
      <c r="W3" s="32"/>
      <c r="X3" s="32"/>
    </row>
    <row r="4">
      <c r="A4" s="32"/>
      <c r="B4" s="32"/>
      <c r="C4" s="32"/>
      <c r="D4" s="37" t="s">
        <v>118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7" t="s">
        <v>119</v>
      </c>
      <c r="P4" s="32"/>
      <c r="Q4" s="32"/>
      <c r="R4" s="32"/>
      <c r="S4" s="32"/>
      <c r="T4" s="32"/>
      <c r="U4" s="32"/>
      <c r="V4" s="32"/>
      <c r="W4" s="32"/>
      <c r="X4" s="32"/>
    </row>
    <row r="5">
      <c r="A5" s="32"/>
      <c r="B5" s="32"/>
      <c r="C5" s="32"/>
      <c r="D5" s="39"/>
      <c r="E5" s="39"/>
      <c r="F5" s="39"/>
      <c r="G5" s="39"/>
      <c r="H5" s="39"/>
      <c r="I5" s="39"/>
      <c r="J5" s="39"/>
      <c r="K5" s="39"/>
      <c r="L5" s="39"/>
      <c r="M5" s="39"/>
      <c r="N5" s="32"/>
      <c r="O5" s="39"/>
      <c r="P5" s="39"/>
      <c r="Q5" s="39"/>
      <c r="R5" s="39"/>
      <c r="S5" s="39"/>
      <c r="T5" s="39"/>
      <c r="U5" s="39"/>
      <c r="V5" s="39"/>
      <c r="W5" s="39"/>
      <c r="X5" s="39"/>
    </row>
    <row r="6">
      <c r="A6" s="32"/>
      <c r="B6" s="32"/>
      <c r="C6" s="32"/>
      <c r="D6" s="40" t="s">
        <v>120</v>
      </c>
      <c r="E6" s="41"/>
      <c r="F6" s="42"/>
      <c r="G6" s="43" t="s">
        <v>121</v>
      </c>
      <c r="H6" s="43" t="s">
        <v>122</v>
      </c>
      <c r="I6" s="43" t="s">
        <v>123</v>
      </c>
      <c r="J6" s="43" t="s">
        <v>124</v>
      </c>
      <c r="K6" s="43" t="s">
        <v>125</v>
      </c>
      <c r="L6" s="44" t="s">
        <v>126</v>
      </c>
      <c r="M6" s="45" t="s">
        <v>127</v>
      </c>
      <c r="N6" s="32"/>
      <c r="O6" s="40" t="s">
        <v>120</v>
      </c>
      <c r="P6" s="41"/>
      <c r="Q6" s="42"/>
      <c r="R6" s="43" t="s">
        <v>121</v>
      </c>
      <c r="S6" s="43" t="s">
        <v>122</v>
      </c>
      <c r="T6" s="43" t="s">
        <v>123</v>
      </c>
      <c r="U6" s="43" t="s">
        <v>124</v>
      </c>
      <c r="V6" s="43" t="s">
        <v>125</v>
      </c>
      <c r="W6" s="44" t="s">
        <v>126</v>
      </c>
      <c r="X6" s="45" t="s">
        <v>127</v>
      </c>
    </row>
    <row r="7">
      <c r="A7" s="32"/>
      <c r="B7" s="32"/>
      <c r="C7" s="32"/>
      <c r="D7" s="46" t="s">
        <v>128</v>
      </c>
      <c r="E7" s="47" t="s">
        <v>129</v>
      </c>
      <c r="F7" s="48"/>
      <c r="G7" s="49">
        <v>2.0</v>
      </c>
      <c r="H7" s="49">
        <v>3.0</v>
      </c>
      <c r="I7" s="49">
        <v>4.0</v>
      </c>
      <c r="J7" s="49">
        <v>5.0</v>
      </c>
      <c r="K7" s="49">
        <v>6.0</v>
      </c>
      <c r="L7" s="49">
        <v>7.0</v>
      </c>
      <c r="M7" s="49">
        <v>8.0</v>
      </c>
      <c r="N7" s="32"/>
      <c r="O7" s="46" t="s">
        <v>128</v>
      </c>
      <c r="P7" s="47"/>
      <c r="Q7" s="48"/>
      <c r="R7" s="49"/>
      <c r="S7" s="49"/>
      <c r="T7" s="49">
        <v>1.0</v>
      </c>
      <c r="U7" s="49">
        <v>2.0</v>
      </c>
      <c r="V7" s="49">
        <v>3.0</v>
      </c>
      <c r="W7" s="49">
        <v>4.0</v>
      </c>
      <c r="X7" s="49">
        <v>5.0</v>
      </c>
    </row>
    <row r="8">
      <c r="A8" s="32"/>
      <c r="B8" s="32"/>
      <c r="C8" s="32"/>
      <c r="D8" s="46" t="s">
        <v>128</v>
      </c>
      <c r="E8" s="47" t="s">
        <v>130</v>
      </c>
      <c r="F8" s="48"/>
      <c r="G8" s="50"/>
      <c r="H8" s="51" t="s">
        <v>131</v>
      </c>
      <c r="I8" s="52"/>
      <c r="J8" s="52"/>
      <c r="K8" s="50"/>
      <c r="L8" s="53"/>
      <c r="M8" s="53"/>
      <c r="N8" s="32"/>
      <c r="O8" s="46" t="s">
        <v>128</v>
      </c>
      <c r="P8" s="54"/>
      <c r="Q8" s="48"/>
      <c r="R8" s="55"/>
      <c r="S8" s="52"/>
      <c r="T8" s="50"/>
      <c r="U8" s="50"/>
      <c r="V8" s="50"/>
      <c r="W8" s="53"/>
      <c r="X8" s="53"/>
    </row>
    <row r="9">
      <c r="A9" s="32"/>
      <c r="B9" s="32"/>
      <c r="C9" s="32"/>
      <c r="D9" s="46" t="s">
        <v>128</v>
      </c>
      <c r="E9" s="54"/>
      <c r="F9" s="48"/>
      <c r="G9" s="56"/>
      <c r="H9" s="56"/>
      <c r="I9" s="56"/>
      <c r="J9" s="56"/>
      <c r="K9" s="56"/>
      <c r="L9" s="53"/>
      <c r="M9" s="53"/>
      <c r="N9" s="32"/>
      <c r="O9" s="46" t="s">
        <v>128</v>
      </c>
      <c r="P9" s="54"/>
      <c r="Q9" s="48"/>
      <c r="R9" s="55"/>
      <c r="S9" s="56"/>
      <c r="T9" s="50"/>
      <c r="U9" s="52"/>
      <c r="V9" s="50"/>
      <c r="W9" s="53"/>
      <c r="X9" s="53"/>
    </row>
    <row r="10">
      <c r="A10" s="32"/>
      <c r="B10" s="32"/>
      <c r="C10" s="32"/>
      <c r="D10" s="46" t="s">
        <v>128</v>
      </c>
      <c r="E10" s="54"/>
      <c r="F10" s="48"/>
      <c r="G10" s="53"/>
      <c r="H10" s="52"/>
      <c r="I10" s="56"/>
      <c r="J10" s="56"/>
      <c r="K10" s="53"/>
      <c r="L10" s="53"/>
      <c r="M10" s="53"/>
      <c r="N10" s="32"/>
      <c r="O10" s="46" t="s">
        <v>128</v>
      </c>
      <c r="P10" s="54"/>
      <c r="Q10" s="48"/>
      <c r="R10" s="53"/>
      <c r="S10" s="56"/>
      <c r="T10" s="52"/>
      <c r="U10" s="52"/>
      <c r="V10" s="53"/>
      <c r="W10" s="53"/>
      <c r="X10" s="53"/>
    </row>
    <row r="11">
      <c r="A11" s="32"/>
      <c r="B11" s="32"/>
      <c r="C11" s="32"/>
      <c r="D11" s="57" t="s">
        <v>128</v>
      </c>
      <c r="E11" s="39"/>
      <c r="F11" s="42"/>
      <c r="G11" s="58"/>
      <c r="H11" s="59"/>
      <c r="I11" s="42"/>
      <c r="J11" s="42"/>
      <c r="K11" s="58"/>
      <c r="L11" s="58"/>
      <c r="M11" s="58"/>
      <c r="N11" s="32"/>
      <c r="O11" s="57" t="s">
        <v>128</v>
      </c>
      <c r="P11" s="39"/>
      <c r="Q11" s="42"/>
      <c r="R11" s="58"/>
      <c r="S11" s="42"/>
      <c r="T11" s="59"/>
      <c r="U11" s="59"/>
      <c r="V11" s="58"/>
      <c r="W11" s="58"/>
      <c r="X11" s="58"/>
    </row>
    <row r="12">
      <c r="A12" s="32"/>
      <c r="B12" s="32"/>
      <c r="C12" s="32"/>
      <c r="D12" s="46" t="s">
        <v>128</v>
      </c>
      <c r="E12" s="47" t="s">
        <v>132</v>
      </c>
      <c r="F12" s="48"/>
      <c r="G12" s="49">
        <v>9.0</v>
      </c>
      <c r="H12" s="49">
        <v>10.0</v>
      </c>
      <c r="I12" s="49">
        <v>11.0</v>
      </c>
      <c r="J12" s="49">
        <v>12.0</v>
      </c>
      <c r="K12" s="49">
        <v>13.0</v>
      </c>
      <c r="L12" s="49">
        <v>14.0</v>
      </c>
      <c r="M12" s="49">
        <v>15.0</v>
      </c>
      <c r="N12" s="32"/>
      <c r="O12" s="46" t="s">
        <v>128</v>
      </c>
      <c r="P12" s="47"/>
      <c r="Q12" s="48"/>
      <c r="R12" s="49">
        <v>6.0</v>
      </c>
      <c r="S12" s="49">
        <v>7.0</v>
      </c>
      <c r="T12" s="49">
        <v>8.0</v>
      </c>
      <c r="U12" s="49">
        <v>9.0</v>
      </c>
      <c r="V12" s="49">
        <v>10.0</v>
      </c>
      <c r="W12" s="49">
        <v>11.0</v>
      </c>
      <c r="X12" s="49">
        <v>12.0</v>
      </c>
    </row>
    <row r="13">
      <c r="A13" s="32"/>
      <c r="B13" s="32"/>
      <c r="C13" s="32"/>
      <c r="D13" s="46" t="s">
        <v>128</v>
      </c>
      <c r="E13" s="54"/>
      <c r="F13" s="48"/>
      <c r="G13" s="53"/>
      <c r="H13" s="60"/>
      <c r="I13" s="52"/>
      <c r="J13" s="61" t="s">
        <v>133</v>
      </c>
      <c r="K13" s="50"/>
      <c r="L13" s="53"/>
      <c r="M13" s="53"/>
      <c r="N13" s="32"/>
      <c r="O13" s="46" t="s">
        <v>128</v>
      </c>
      <c r="P13" s="47"/>
      <c r="Q13" s="48"/>
      <c r="R13" s="50"/>
      <c r="S13" s="53"/>
      <c r="T13" s="52"/>
      <c r="U13" s="53"/>
      <c r="V13" s="60"/>
      <c r="W13" s="53"/>
      <c r="X13" s="53"/>
    </row>
    <row r="14">
      <c r="A14" s="32"/>
      <c r="B14" s="32"/>
      <c r="C14" s="32"/>
      <c r="D14" s="46" t="s">
        <v>128</v>
      </c>
      <c r="E14" s="54"/>
      <c r="F14" s="48"/>
      <c r="G14" s="53"/>
      <c r="H14" s="56"/>
      <c r="I14" s="52"/>
      <c r="J14" s="56"/>
      <c r="K14" s="56"/>
      <c r="L14" s="62"/>
      <c r="M14" s="53"/>
      <c r="N14" s="32"/>
      <c r="O14" s="46" t="s">
        <v>128</v>
      </c>
      <c r="P14" s="54"/>
      <c r="Q14" s="48"/>
      <c r="R14" s="56"/>
      <c r="S14" s="53"/>
      <c r="T14" s="56"/>
      <c r="U14" s="53"/>
      <c r="V14" s="53"/>
      <c r="W14" s="53"/>
      <c r="X14" s="53"/>
    </row>
    <row r="15">
      <c r="A15" s="32"/>
      <c r="B15" s="32"/>
      <c r="C15" s="32"/>
      <c r="D15" s="46" t="s">
        <v>128</v>
      </c>
      <c r="E15" s="54"/>
      <c r="F15" s="48"/>
      <c r="G15" s="53"/>
      <c r="H15" s="53"/>
      <c r="I15" s="52"/>
      <c r="J15" s="53"/>
      <c r="K15" s="53"/>
      <c r="L15" s="53"/>
      <c r="M15" s="53"/>
      <c r="N15" s="32"/>
      <c r="O15" s="46" t="s">
        <v>128</v>
      </c>
      <c r="P15" s="54"/>
      <c r="Q15" s="48"/>
      <c r="R15" s="56"/>
      <c r="S15" s="53"/>
      <c r="T15" s="56"/>
      <c r="U15" s="53"/>
      <c r="V15" s="53"/>
      <c r="W15" s="53"/>
      <c r="X15" s="53"/>
    </row>
    <row r="16">
      <c r="A16" s="32"/>
      <c r="B16" s="32"/>
      <c r="C16" s="32"/>
      <c r="D16" s="57" t="s">
        <v>128</v>
      </c>
      <c r="E16" s="39"/>
      <c r="F16" s="42"/>
      <c r="G16" s="58"/>
      <c r="H16" s="58"/>
      <c r="I16" s="59"/>
      <c r="J16" s="58"/>
      <c r="K16" s="58"/>
      <c r="L16" s="58"/>
      <c r="M16" s="58"/>
      <c r="N16" s="32"/>
      <c r="O16" s="57" t="s">
        <v>128</v>
      </c>
      <c r="P16" s="39"/>
      <c r="Q16" s="42"/>
      <c r="R16" s="42"/>
      <c r="S16" s="58"/>
      <c r="T16" s="42"/>
      <c r="U16" s="58"/>
      <c r="V16" s="58"/>
      <c r="W16" s="58"/>
      <c r="X16" s="58"/>
    </row>
    <row r="17">
      <c r="A17" s="32"/>
      <c r="B17" s="32"/>
      <c r="C17" s="32"/>
      <c r="D17" s="46" t="s">
        <v>128</v>
      </c>
      <c r="E17" s="54"/>
      <c r="F17" s="48"/>
      <c r="G17" s="49">
        <v>16.0</v>
      </c>
      <c r="H17" s="49">
        <v>17.0</v>
      </c>
      <c r="I17" s="49">
        <v>18.0</v>
      </c>
      <c r="J17" s="49">
        <v>19.0</v>
      </c>
      <c r="K17" s="49">
        <v>20.0</v>
      </c>
      <c r="L17" s="49">
        <v>21.0</v>
      </c>
      <c r="M17" s="49">
        <v>22.0</v>
      </c>
      <c r="N17" s="32"/>
      <c r="O17" s="46" t="s">
        <v>128</v>
      </c>
      <c r="P17" s="47"/>
      <c r="Q17" s="48"/>
      <c r="R17" s="63">
        <v>13.0</v>
      </c>
      <c r="S17" s="63">
        <v>14.0</v>
      </c>
      <c r="T17" s="63">
        <v>15.0</v>
      </c>
      <c r="U17" s="49">
        <v>16.0</v>
      </c>
      <c r="V17" s="49">
        <v>17.0</v>
      </c>
      <c r="W17" s="49">
        <v>18.0</v>
      </c>
      <c r="X17" s="49">
        <v>19.0</v>
      </c>
    </row>
    <row r="18">
      <c r="A18" s="32"/>
      <c r="B18" s="32"/>
      <c r="C18" s="32"/>
      <c r="D18" s="46" t="s">
        <v>128</v>
      </c>
      <c r="E18" s="47"/>
      <c r="F18" s="48"/>
      <c r="G18" s="53"/>
      <c r="H18" s="53"/>
      <c r="I18" s="55"/>
      <c r="J18" s="64"/>
      <c r="K18" s="50"/>
      <c r="L18" s="62"/>
      <c r="M18" s="53"/>
      <c r="N18" s="32"/>
      <c r="O18" s="46" t="s">
        <v>128</v>
      </c>
      <c r="P18" s="47"/>
      <c r="Q18" s="48"/>
      <c r="R18" s="65"/>
      <c r="S18" s="65"/>
      <c r="T18" s="65"/>
      <c r="U18" s="52"/>
      <c r="V18" s="50"/>
      <c r="W18" s="53"/>
      <c r="X18" s="53"/>
    </row>
    <row r="19">
      <c r="A19" s="32"/>
      <c r="B19" s="32"/>
      <c r="C19" s="32"/>
      <c r="D19" s="46" t="s">
        <v>128</v>
      </c>
      <c r="E19" s="54"/>
      <c r="F19" s="48"/>
      <c r="G19" s="53"/>
      <c r="H19" s="53"/>
      <c r="I19" s="53"/>
      <c r="J19" s="66"/>
      <c r="K19" s="53"/>
      <c r="L19" s="53"/>
      <c r="M19" s="53"/>
      <c r="N19" s="32"/>
      <c r="O19" s="46" t="s">
        <v>128</v>
      </c>
      <c r="P19" s="54"/>
      <c r="Q19" s="48"/>
      <c r="R19" s="67"/>
      <c r="S19" s="67"/>
      <c r="T19" s="67"/>
      <c r="U19" s="56"/>
      <c r="V19" s="53"/>
      <c r="W19" s="53"/>
      <c r="X19" s="53"/>
    </row>
    <row r="20">
      <c r="A20" s="32"/>
      <c r="B20" s="32"/>
      <c r="C20" s="32"/>
      <c r="D20" s="46" t="s">
        <v>128</v>
      </c>
      <c r="E20" s="54"/>
      <c r="F20" s="48"/>
      <c r="G20" s="53"/>
      <c r="H20" s="53"/>
      <c r="I20" s="53"/>
      <c r="J20" s="66"/>
      <c r="K20" s="53"/>
      <c r="L20" s="53"/>
      <c r="M20" s="53"/>
      <c r="N20" s="32"/>
      <c r="O20" s="46" t="s">
        <v>128</v>
      </c>
      <c r="P20" s="54"/>
      <c r="Q20" s="48"/>
      <c r="R20" s="67"/>
      <c r="S20" s="67"/>
      <c r="T20" s="67"/>
      <c r="U20" s="56"/>
      <c r="V20" s="53"/>
      <c r="W20" s="53"/>
      <c r="X20" s="53"/>
    </row>
    <row r="21">
      <c r="A21" s="32"/>
      <c r="B21" s="32"/>
      <c r="C21" s="32"/>
      <c r="D21" s="57" t="s">
        <v>128</v>
      </c>
      <c r="E21" s="39"/>
      <c r="F21" s="42"/>
      <c r="G21" s="58"/>
      <c r="H21" s="58"/>
      <c r="I21" s="58"/>
      <c r="J21" s="68"/>
      <c r="K21" s="58"/>
      <c r="L21" s="58"/>
      <c r="M21" s="58"/>
      <c r="N21" s="32"/>
      <c r="O21" s="57" t="s">
        <v>128</v>
      </c>
      <c r="P21" s="39"/>
      <c r="Q21" s="42"/>
      <c r="R21" s="69"/>
      <c r="S21" s="69"/>
      <c r="T21" s="69"/>
      <c r="U21" s="42"/>
      <c r="V21" s="58"/>
      <c r="W21" s="58"/>
      <c r="X21" s="58"/>
    </row>
    <row r="22">
      <c r="A22" s="32"/>
      <c r="B22" s="32"/>
      <c r="C22" s="32"/>
      <c r="D22" s="70" t="s">
        <v>128</v>
      </c>
      <c r="E22" s="71" t="s">
        <v>134</v>
      </c>
      <c r="F22" s="56"/>
      <c r="G22" s="49">
        <v>23.0</v>
      </c>
      <c r="H22" s="49">
        <v>24.0</v>
      </c>
      <c r="I22" s="49">
        <v>25.0</v>
      </c>
      <c r="J22" s="49">
        <v>26.0</v>
      </c>
      <c r="K22" s="49">
        <v>27.0</v>
      </c>
      <c r="L22" s="49">
        <v>28.0</v>
      </c>
      <c r="M22" s="49">
        <v>29.0</v>
      </c>
      <c r="N22" s="32"/>
      <c r="O22" s="70" t="s">
        <v>128</v>
      </c>
      <c r="P22" s="71"/>
      <c r="Q22" s="56"/>
      <c r="R22" s="49">
        <v>20.0</v>
      </c>
      <c r="S22" s="49">
        <v>21.0</v>
      </c>
      <c r="T22" s="49">
        <v>22.0</v>
      </c>
      <c r="U22" s="49">
        <v>23.0</v>
      </c>
      <c r="V22" s="49">
        <v>24.0</v>
      </c>
      <c r="W22" s="49">
        <v>25.0</v>
      </c>
      <c r="X22" s="49">
        <v>26.0</v>
      </c>
    </row>
    <row r="23">
      <c r="A23" s="32"/>
      <c r="B23" s="32"/>
      <c r="C23" s="32"/>
      <c r="D23" s="72"/>
      <c r="E23" s="73"/>
      <c r="F23" s="48"/>
      <c r="G23" s="53"/>
      <c r="H23" s="74" t="s">
        <v>135</v>
      </c>
      <c r="I23" s="53"/>
      <c r="J23" s="74" t="s">
        <v>136</v>
      </c>
      <c r="K23" s="64"/>
      <c r="L23" s="53"/>
      <c r="M23" s="53"/>
      <c r="N23" s="32"/>
      <c r="O23" s="72"/>
      <c r="P23" s="73"/>
      <c r="Q23" s="48"/>
      <c r="R23" s="53"/>
      <c r="S23" s="53"/>
      <c r="T23" s="53"/>
      <c r="U23" s="53"/>
      <c r="V23" s="60"/>
      <c r="W23" s="53"/>
      <c r="X23" s="53"/>
    </row>
    <row r="24">
      <c r="A24" s="32"/>
      <c r="B24" s="32"/>
      <c r="C24" s="32"/>
      <c r="D24" s="46" t="s">
        <v>128</v>
      </c>
      <c r="E24" s="54"/>
      <c r="F24" s="48"/>
      <c r="G24" s="53"/>
      <c r="H24" s="53"/>
      <c r="I24" s="53"/>
      <c r="J24" s="75"/>
      <c r="K24" s="53"/>
      <c r="L24" s="53"/>
      <c r="M24" s="53"/>
      <c r="N24" s="32"/>
      <c r="O24" s="46" t="s">
        <v>128</v>
      </c>
      <c r="P24" s="54"/>
      <c r="Q24" s="48"/>
      <c r="R24" s="53"/>
      <c r="S24" s="53"/>
      <c r="T24" s="53"/>
      <c r="U24" s="53"/>
      <c r="V24" s="53"/>
      <c r="W24" s="53"/>
      <c r="X24" s="53"/>
    </row>
    <row r="25">
      <c r="A25" s="32"/>
      <c r="B25" s="32"/>
      <c r="C25" s="32"/>
      <c r="D25" s="46" t="s">
        <v>128</v>
      </c>
      <c r="E25" s="54"/>
      <c r="F25" s="48"/>
      <c r="G25" s="53"/>
      <c r="H25" s="53"/>
      <c r="I25" s="53"/>
      <c r="J25" s="53"/>
      <c r="K25" s="53"/>
      <c r="L25" s="53"/>
      <c r="M25" s="53"/>
      <c r="N25" s="32"/>
      <c r="O25" s="46" t="s">
        <v>128</v>
      </c>
      <c r="P25" s="54"/>
      <c r="Q25" s="48"/>
      <c r="R25" s="53"/>
      <c r="S25" s="53"/>
      <c r="T25" s="53"/>
      <c r="U25" s="53"/>
      <c r="V25" s="53"/>
      <c r="W25" s="53"/>
      <c r="X25" s="53"/>
    </row>
    <row r="26">
      <c r="A26" s="32"/>
      <c r="B26" s="32"/>
      <c r="C26" s="32"/>
      <c r="D26" s="57" t="s">
        <v>128</v>
      </c>
      <c r="E26" s="39"/>
      <c r="F26" s="42"/>
      <c r="G26" s="58"/>
      <c r="H26" s="58"/>
      <c r="I26" s="58"/>
      <c r="J26" s="58"/>
      <c r="K26" s="58"/>
      <c r="L26" s="58"/>
      <c r="M26" s="58"/>
      <c r="N26" s="32"/>
      <c r="O26" s="57" t="s">
        <v>128</v>
      </c>
      <c r="P26" s="39"/>
      <c r="Q26" s="42"/>
      <c r="R26" s="58"/>
      <c r="S26" s="58"/>
      <c r="T26" s="58"/>
      <c r="U26" s="58"/>
      <c r="V26" s="58"/>
      <c r="W26" s="58"/>
      <c r="X26" s="58"/>
    </row>
    <row r="27">
      <c r="A27" s="32"/>
      <c r="B27" s="32"/>
      <c r="C27" s="32"/>
      <c r="D27" s="46" t="s">
        <v>128</v>
      </c>
      <c r="E27" s="54"/>
      <c r="F27" s="48"/>
      <c r="G27" s="49">
        <v>30.0</v>
      </c>
      <c r="H27" s="49">
        <v>31.0</v>
      </c>
      <c r="I27" s="49"/>
      <c r="J27" s="49"/>
      <c r="K27" s="49"/>
      <c r="L27" s="76"/>
      <c r="M27" s="76"/>
      <c r="N27" s="32"/>
      <c r="O27" s="46" t="s">
        <v>128</v>
      </c>
      <c r="P27" s="47"/>
      <c r="Q27" s="48"/>
      <c r="R27" s="49">
        <v>27.0</v>
      </c>
      <c r="S27" s="49">
        <v>28.0</v>
      </c>
      <c r="T27" s="49">
        <v>29.0</v>
      </c>
      <c r="U27" s="49">
        <v>30.0</v>
      </c>
      <c r="V27" s="49"/>
      <c r="W27" s="76"/>
      <c r="X27" s="76"/>
    </row>
    <row r="28">
      <c r="A28" s="32"/>
      <c r="B28" s="32"/>
      <c r="C28" s="32"/>
      <c r="D28" s="46" t="s">
        <v>128</v>
      </c>
      <c r="E28" s="77"/>
      <c r="F28" s="48"/>
      <c r="G28" s="75"/>
      <c r="H28" s="75"/>
      <c r="I28" s="50"/>
      <c r="J28" s="53"/>
      <c r="K28" s="75"/>
      <c r="L28" s="53"/>
      <c r="M28" s="53"/>
      <c r="N28" s="32"/>
      <c r="O28" s="46" t="s">
        <v>128</v>
      </c>
      <c r="P28" s="77"/>
      <c r="Q28" s="48"/>
      <c r="R28" s="53"/>
      <c r="S28" s="53"/>
      <c r="T28" s="50"/>
      <c r="U28" s="53"/>
      <c r="V28" s="50"/>
      <c r="W28" s="53"/>
      <c r="X28" s="53"/>
    </row>
    <row r="29">
      <c r="A29" s="32"/>
      <c r="B29" s="32"/>
      <c r="C29" s="32"/>
      <c r="D29" s="46" t="s">
        <v>128</v>
      </c>
      <c r="E29" s="54"/>
      <c r="F29" s="48"/>
      <c r="G29" s="53"/>
      <c r="H29" s="53"/>
      <c r="I29" s="50"/>
      <c r="J29" s="53"/>
      <c r="K29" s="53"/>
      <c r="L29" s="53"/>
      <c r="M29" s="53"/>
      <c r="N29" s="32"/>
      <c r="O29" s="46" t="s">
        <v>128</v>
      </c>
      <c r="P29" s="54"/>
      <c r="Q29" s="48"/>
      <c r="R29" s="53"/>
      <c r="S29" s="53"/>
      <c r="T29" s="53"/>
      <c r="U29" s="53"/>
      <c r="V29" s="53"/>
      <c r="W29" s="53"/>
      <c r="X29" s="53"/>
    </row>
    <row r="30">
      <c r="A30" s="32"/>
      <c r="B30" s="32"/>
      <c r="C30" s="32"/>
      <c r="D30" s="46" t="s">
        <v>128</v>
      </c>
      <c r="E30" s="54"/>
      <c r="F30" s="48"/>
      <c r="G30" s="53"/>
      <c r="H30" s="53"/>
      <c r="I30" s="53"/>
      <c r="J30" s="53"/>
      <c r="K30" s="53"/>
      <c r="L30" s="53"/>
      <c r="M30" s="53"/>
      <c r="N30" s="32"/>
      <c r="O30" s="46" t="s">
        <v>128</v>
      </c>
      <c r="P30" s="54"/>
      <c r="Q30" s="48"/>
      <c r="R30" s="53"/>
      <c r="S30" s="53"/>
      <c r="T30" s="53"/>
      <c r="U30" s="53"/>
      <c r="V30" s="53"/>
      <c r="W30" s="53"/>
      <c r="X30" s="53"/>
    </row>
    <row r="31">
      <c r="A31" s="32"/>
      <c r="B31" s="32"/>
      <c r="C31" s="32"/>
      <c r="D31" s="57" t="s">
        <v>128</v>
      </c>
      <c r="E31" s="39"/>
      <c r="F31" s="42"/>
      <c r="G31" s="58"/>
      <c r="H31" s="58"/>
      <c r="I31" s="58"/>
      <c r="J31" s="58"/>
      <c r="K31" s="58"/>
      <c r="L31" s="58"/>
      <c r="M31" s="58"/>
      <c r="N31" s="32"/>
      <c r="O31" s="57" t="s">
        <v>128</v>
      </c>
      <c r="P31" s="39"/>
      <c r="Q31" s="42"/>
      <c r="R31" s="58"/>
      <c r="S31" s="58"/>
      <c r="T31" s="58"/>
      <c r="U31" s="58"/>
      <c r="V31" s="58"/>
      <c r="W31" s="58"/>
      <c r="X31" s="58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</sheetData>
  <mergeCells count="67">
    <mergeCell ref="E16:F16"/>
    <mergeCell ref="E17:F17"/>
    <mergeCell ref="E18:F18"/>
    <mergeCell ref="E19:F19"/>
    <mergeCell ref="E20:F20"/>
    <mergeCell ref="E21:F21"/>
    <mergeCell ref="D22:D23"/>
    <mergeCell ref="E30:F30"/>
    <mergeCell ref="E31:F31"/>
    <mergeCell ref="E22:F23"/>
    <mergeCell ref="E24:F24"/>
    <mergeCell ref="E25:F25"/>
    <mergeCell ref="E26:F26"/>
    <mergeCell ref="E27:F27"/>
    <mergeCell ref="E28:F28"/>
    <mergeCell ref="E29:F29"/>
    <mergeCell ref="I8:I11"/>
    <mergeCell ref="J8:J11"/>
    <mergeCell ref="H13:H14"/>
    <mergeCell ref="J13:J14"/>
    <mergeCell ref="K13:K14"/>
    <mergeCell ref="D6:F6"/>
    <mergeCell ref="O6:Q6"/>
    <mergeCell ref="E7:F7"/>
    <mergeCell ref="E8:F8"/>
    <mergeCell ref="G8:G9"/>
    <mergeCell ref="H8:H9"/>
    <mergeCell ref="K8:K9"/>
    <mergeCell ref="P7:Q7"/>
    <mergeCell ref="P8:Q8"/>
    <mergeCell ref="S8:S11"/>
    <mergeCell ref="P9:Q9"/>
    <mergeCell ref="P10:Q10"/>
    <mergeCell ref="P11:Q11"/>
    <mergeCell ref="P12:Q12"/>
    <mergeCell ref="E9:F9"/>
    <mergeCell ref="E10:F10"/>
    <mergeCell ref="E11:F11"/>
    <mergeCell ref="E12:F12"/>
    <mergeCell ref="E13:F13"/>
    <mergeCell ref="E14:F14"/>
    <mergeCell ref="E15:F15"/>
    <mergeCell ref="R13:R16"/>
    <mergeCell ref="R18:R21"/>
    <mergeCell ref="S18:S21"/>
    <mergeCell ref="T18:T21"/>
    <mergeCell ref="U18:U21"/>
    <mergeCell ref="P13:Q13"/>
    <mergeCell ref="T13:T16"/>
    <mergeCell ref="P14:Q14"/>
    <mergeCell ref="P15:Q15"/>
    <mergeCell ref="P16:Q16"/>
    <mergeCell ref="P17:Q17"/>
    <mergeCell ref="P18:Q18"/>
    <mergeCell ref="P26:Q26"/>
    <mergeCell ref="P27:Q27"/>
    <mergeCell ref="P28:Q28"/>
    <mergeCell ref="P29:Q29"/>
    <mergeCell ref="P30:Q30"/>
    <mergeCell ref="P31:Q31"/>
    <mergeCell ref="P19:Q19"/>
    <mergeCell ref="P20:Q20"/>
    <mergeCell ref="P21:Q21"/>
    <mergeCell ref="O22:O23"/>
    <mergeCell ref="P22:Q23"/>
    <mergeCell ref="P24:Q24"/>
    <mergeCell ref="P25:Q25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2" max="3" width="10.5"/>
    <col customWidth="1" min="4" max="4" width="32.25"/>
    <col customWidth="1" min="5" max="5" width="9.75"/>
    <col customWidth="1" min="6" max="6" width="37.5"/>
    <col customWidth="1" min="7" max="7" width="9.63"/>
    <col customWidth="1" min="8" max="8" width="40.63"/>
    <col customWidth="1" min="9" max="12" width="9.63"/>
    <col customWidth="1" min="13" max="13" width="13.0"/>
    <col customWidth="1" min="14" max="14" width="59.75"/>
    <col customWidth="1" min="15" max="15" width="2.5"/>
    <col customWidth="1" min="16" max="17" width="9.63"/>
    <col customWidth="1" min="18" max="18" width="46.5"/>
    <col customWidth="1" min="19" max="19" width="13.75"/>
    <col customWidth="1" min="20" max="20" width="3.13"/>
    <col customWidth="1" min="21" max="21" width="13.75"/>
  </cols>
  <sheetData>
    <row r="1" ht="36.0" customHeight="1">
      <c r="A1" s="78"/>
      <c r="B1" s="79" t="s">
        <v>137</v>
      </c>
      <c r="G1" s="80" t="s">
        <v>138</v>
      </c>
      <c r="H1" s="81"/>
      <c r="I1" s="81"/>
      <c r="J1" s="82"/>
      <c r="K1" s="83"/>
      <c r="L1" s="83"/>
      <c r="M1" s="84" t="s">
        <v>139</v>
      </c>
      <c r="N1" s="85" t="s">
        <v>140</v>
      </c>
      <c r="O1" s="86"/>
      <c r="P1" s="87" t="s">
        <v>141</v>
      </c>
      <c r="Q1" s="88" t="s">
        <v>142</v>
      </c>
      <c r="R1" s="89"/>
      <c r="S1" s="90"/>
      <c r="T1" s="86"/>
      <c r="U1" s="91"/>
    </row>
    <row r="2" ht="36.0" customHeight="1">
      <c r="A2" s="78"/>
      <c r="B2" s="92" t="s">
        <v>143</v>
      </c>
      <c r="C2" s="93" t="s">
        <v>144</v>
      </c>
      <c r="D2" s="90"/>
      <c r="E2" s="94"/>
      <c r="F2" s="95" t="s">
        <v>145</v>
      </c>
      <c r="G2" s="96"/>
      <c r="J2" s="97"/>
      <c r="K2" s="83"/>
      <c r="L2" s="83"/>
      <c r="M2" s="98" t="s">
        <v>146</v>
      </c>
      <c r="N2" s="99"/>
      <c r="O2" s="86"/>
      <c r="P2" s="100" t="s">
        <v>147</v>
      </c>
      <c r="Q2" s="101"/>
      <c r="R2" s="89"/>
      <c r="S2" s="90"/>
      <c r="T2" s="86"/>
      <c r="U2" s="91"/>
    </row>
    <row r="3" ht="36.0" customHeight="1">
      <c r="A3" s="78"/>
      <c r="B3" s="92" t="s">
        <v>148</v>
      </c>
      <c r="C3" s="102" t="s">
        <v>149</v>
      </c>
      <c r="D3" s="90"/>
      <c r="E3" s="103"/>
      <c r="F3" s="104"/>
      <c r="G3" s="105"/>
      <c r="H3" s="106"/>
      <c r="I3" s="106"/>
      <c r="J3" s="107"/>
      <c r="K3" s="83"/>
      <c r="L3" s="83"/>
      <c r="M3" s="108" t="s">
        <v>150</v>
      </c>
      <c r="N3" s="109" t="str">
        <f>Q4</f>
        <v/>
      </c>
      <c r="O3" s="86"/>
      <c r="P3" s="110" t="s">
        <v>151</v>
      </c>
      <c r="Q3" s="88"/>
      <c r="R3" s="89"/>
      <c r="S3" s="90"/>
      <c r="T3" s="86"/>
      <c r="U3" s="111"/>
    </row>
    <row r="4" ht="27.75" customHeight="1">
      <c r="A4" s="78"/>
      <c r="B4" s="86" t="s">
        <v>152</v>
      </c>
      <c r="G4" s="112"/>
      <c r="H4" s="86"/>
      <c r="I4" s="112">
        <f>sum(I8:I67)</f>
        <v>970</v>
      </c>
      <c r="J4" s="112"/>
      <c r="K4" s="113"/>
      <c r="L4" s="113"/>
      <c r="M4" s="86"/>
      <c r="N4" s="86"/>
      <c r="O4" s="86"/>
      <c r="P4" s="114"/>
      <c r="Q4" s="114"/>
      <c r="R4" s="115"/>
      <c r="S4" s="111"/>
      <c r="T4" s="86"/>
      <c r="U4" s="116"/>
    </row>
    <row r="5" ht="27.75" customHeight="1">
      <c r="A5" s="78"/>
      <c r="B5" s="116" t="s">
        <v>153</v>
      </c>
      <c r="C5" s="116"/>
      <c r="D5" s="116"/>
      <c r="E5" s="117"/>
      <c r="K5" s="118" t="s">
        <v>154</v>
      </c>
      <c r="L5" s="119" t="s">
        <v>155</v>
      </c>
      <c r="M5" s="120" t="s">
        <v>156</v>
      </c>
      <c r="O5" s="86"/>
      <c r="P5" s="121"/>
      <c r="Q5" s="122" t="s">
        <v>157</v>
      </c>
      <c r="T5" s="86"/>
      <c r="U5" s="116" t="s">
        <v>153</v>
      </c>
    </row>
    <row r="6" ht="27.0" customHeight="1">
      <c r="A6" s="123"/>
      <c r="B6" s="124" t="s">
        <v>158</v>
      </c>
      <c r="C6" s="125" t="s">
        <v>159</v>
      </c>
      <c r="D6" s="125" t="s">
        <v>160</v>
      </c>
      <c r="E6" s="126" t="s">
        <v>161</v>
      </c>
      <c r="F6" s="127" t="s">
        <v>162</v>
      </c>
      <c r="G6" s="128" t="s">
        <v>163</v>
      </c>
      <c r="H6" s="129" t="s">
        <v>164</v>
      </c>
      <c r="I6" s="127" t="s">
        <v>165</v>
      </c>
      <c r="J6" s="130" t="s">
        <v>166</v>
      </c>
      <c r="K6" s="131" t="s">
        <v>167</v>
      </c>
      <c r="L6" s="132" t="s">
        <v>168</v>
      </c>
      <c r="M6" s="133" t="s">
        <v>169</v>
      </c>
      <c r="N6" s="97"/>
      <c r="O6" s="86"/>
      <c r="P6" s="134" t="s">
        <v>170</v>
      </c>
      <c r="Q6" s="135" t="s">
        <v>171</v>
      </c>
      <c r="R6" s="136" t="s">
        <v>172</v>
      </c>
      <c r="S6" s="136" t="s">
        <v>173</v>
      </c>
      <c r="T6" s="86"/>
      <c r="U6" s="124" t="s">
        <v>174</v>
      </c>
    </row>
    <row r="7">
      <c r="A7" s="137"/>
      <c r="B7" s="138"/>
      <c r="C7" s="139" t="s">
        <v>175</v>
      </c>
      <c r="D7" s="140"/>
      <c r="E7" s="141" t="s">
        <v>176</v>
      </c>
      <c r="F7" s="140"/>
      <c r="G7" s="141" t="s">
        <v>177</v>
      </c>
      <c r="H7" s="142"/>
      <c r="I7" s="143"/>
      <c r="J7" s="143"/>
      <c r="K7" s="144"/>
      <c r="L7" s="145"/>
      <c r="M7" s="144"/>
      <c r="N7" s="146"/>
      <c r="O7" s="86"/>
      <c r="P7" s="147"/>
      <c r="Q7" s="148"/>
      <c r="R7" s="148"/>
      <c r="S7" s="148"/>
      <c r="T7" s="148"/>
      <c r="U7" s="148"/>
    </row>
    <row r="8">
      <c r="A8" s="137"/>
      <c r="B8" s="149" t="b">
        <v>0</v>
      </c>
      <c r="C8" s="150" t="s">
        <v>4</v>
      </c>
      <c r="D8" s="151" t="s">
        <v>178</v>
      </c>
      <c r="E8" s="152" t="s">
        <v>179</v>
      </c>
      <c r="F8" s="153" t="s">
        <v>180</v>
      </c>
      <c r="G8" s="154" t="s">
        <v>181</v>
      </c>
      <c r="H8" s="153" t="s">
        <v>182</v>
      </c>
      <c r="I8" s="155">
        <v>10.0</v>
      </c>
      <c r="J8" s="156"/>
      <c r="K8" s="157" t="b">
        <v>0</v>
      </c>
      <c r="L8" s="158" t="b">
        <v>0</v>
      </c>
      <c r="M8" s="159" t="str">
        <f t="shared" ref="M8:M67" si="1">CONCATENATE(E8,"-",G8, ". ",H8)</f>
        <v>CH01-01. 세계 3등이 말하는 AI 데이터 시각화란?</v>
      </c>
      <c r="N8" s="146"/>
      <c r="O8" s="160"/>
      <c r="P8" s="161"/>
      <c r="Q8" s="162"/>
      <c r="R8" s="163"/>
      <c r="S8" s="164"/>
      <c r="T8" s="160"/>
      <c r="U8" s="165"/>
    </row>
    <row r="9">
      <c r="A9" s="137"/>
      <c r="B9" s="149" t="b">
        <v>0</v>
      </c>
      <c r="C9" s="166" t="s">
        <v>4</v>
      </c>
      <c r="D9" s="167" t="s">
        <v>178</v>
      </c>
      <c r="E9" s="152" t="s">
        <v>179</v>
      </c>
      <c r="F9" s="168" t="s">
        <v>180</v>
      </c>
      <c r="G9" s="169" t="s">
        <v>183</v>
      </c>
      <c r="H9" s="168" t="s">
        <v>184</v>
      </c>
      <c r="I9" s="170">
        <v>20.0</v>
      </c>
      <c r="J9" s="156"/>
      <c r="K9" s="157" t="b">
        <v>0</v>
      </c>
      <c r="L9" s="171" t="b">
        <v>0</v>
      </c>
      <c r="M9" s="159" t="str">
        <f t="shared" si="1"/>
        <v>CH01-02. 실습 환경 셋업 (Claude Code, Antigravity)</v>
      </c>
      <c r="N9" s="146"/>
      <c r="O9" s="160"/>
      <c r="P9" s="161"/>
      <c r="Q9" s="162"/>
      <c r="R9" s="163"/>
      <c r="S9" s="164"/>
      <c r="T9" s="160"/>
      <c r="U9" s="165"/>
    </row>
    <row r="10">
      <c r="A10" s="137"/>
      <c r="B10" s="149" t="b">
        <v>0</v>
      </c>
      <c r="C10" s="166" t="s">
        <v>13</v>
      </c>
      <c r="D10" s="167" t="s">
        <v>185</v>
      </c>
      <c r="E10" s="172" t="s">
        <v>179</v>
      </c>
      <c r="F10" s="168" t="s">
        <v>186</v>
      </c>
      <c r="G10" s="169" t="s">
        <v>181</v>
      </c>
      <c r="H10" s="168" t="s">
        <v>187</v>
      </c>
      <c r="I10" s="170">
        <v>15.0</v>
      </c>
      <c r="J10" s="156"/>
      <c r="K10" s="157" t="b">
        <v>0</v>
      </c>
      <c r="L10" s="171" t="b">
        <v>0</v>
      </c>
      <c r="M10" s="159" t="str">
        <f t="shared" si="1"/>
        <v>CH01-01. Claude Code 설치 &amp; 첫 번째 세션 시작하기</v>
      </c>
      <c r="N10" s="146"/>
      <c r="O10" s="160"/>
      <c r="P10" s="161"/>
      <c r="Q10" s="162"/>
      <c r="R10" s="163"/>
      <c r="S10" s="164"/>
      <c r="T10" s="160"/>
      <c r="U10" s="165"/>
    </row>
    <row r="11">
      <c r="A11" s="137"/>
      <c r="B11" s="149" t="b">
        <v>0</v>
      </c>
      <c r="C11" s="166" t="s">
        <v>13</v>
      </c>
      <c r="D11" s="167" t="s">
        <v>185</v>
      </c>
      <c r="E11" s="172" t="s">
        <v>179</v>
      </c>
      <c r="F11" s="168" t="s">
        <v>186</v>
      </c>
      <c r="G11" s="169" t="s">
        <v>183</v>
      </c>
      <c r="H11" s="168" t="s">
        <v>188</v>
      </c>
      <c r="I11" s="170">
        <v>20.0</v>
      </c>
      <c r="J11" s="173"/>
      <c r="K11" s="157" t="b">
        <v>0</v>
      </c>
      <c r="L11" s="171" t="b">
        <v>0</v>
      </c>
      <c r="M11" s="159" t="str">
        <f t="shared" si="1"/>
        <v>CH01-02. CLAUDE.md — 프로젝트 전용 AI 두뇌 설계</v>
      </c>
      <c r="N11" s="146"/>
      <c r="O11" s="160"/>
      <c r="P11" s="161"/>
      <c r="Q11" s="162"/>
      <c r="R11" s="163"/>
      <c r="S11" s="164"/>
      <c r="T11" s="160"/>
      <c r="U11" s="165"/>
    </row>
    <row r="12">
      <c r="A12" s="137"/>
      <c r="B12" s="149" t="b">
        <v>0</v>
      </c>
      <c r="C12" s="166" t="s">
        <v>13</v>
      </c>
      <c r="D12" s="167" t="s">
        <v>185</v>
      </c>
      <c r="E12" s="172" t="s">
        <v>179</v>
      </c>
      <c r="F12" s="168" t="s">
        <v>186</v>
      </c>
      <c r="G12" s="169" t="s">
        <v>189</v>
      </c>
      <c r="H12" s="174" t="s">
        <v>190</v>
      </c>
      <c r="I12" s="170">
        <v>15.0</v>
      </c>
      <c r="J12" s="173"/>
      <c r="K12" s="157" t="b">
        <v>0</v>
      </c>
      <c r="L12" s="171" t="b">
        <v>0</v>
      </c>
      <c r="M12" s="159" t="str">
        <f t="shared" si="1"/>
        <v>CH01-03. 기본 워크플로우: 파일 읽기·쓰기·실행</v>
      </c>
      <c r="N12" s="146"/>
      <c r="O12" s="160"/>
      <c r="P12" s="161"/>
      <c r="Q12" s="162"/>
      <c r="R12" s="163"/>
      <c r="S12" s="164"/>
      <c r="T12" s="160"/>
      <c r="U12" s="165"/>
    </row>
    <row r="13">
      <c r="A13" s="137"/>
      <c r="B13" s="149" t="b">
        <v>0</v>
      </c>
      <c r="C13" s="166" t="s">
        <v>13</v>
      </c>
      <c r="D13" s="167" t="s">
        <v>185</v>
      </c>
      <c r="E13" s="172" t="s">
        <v>179</v>
      </c>
      <c r="F13" s="168" t="s">
        <v>186</v>
      </c>
      <c r="G13" s="169" t="s">
        <v>191</v>
      </c>
      <c r="H13" s="174" t="s">
        <v>192</v>
      </c>
      <c r="I13" s="170">
        <v>15.0</v>
      </c>
      <c r="J13" s="173"/>
      <c r="K13" s="157" t="b">
        <v>0</v>
      </c>
      <c r="L13" s="171" t="b">
        <v>0</v>
      </c>
      <c r="M13" s="159" t="str">
        <f t="shared" si="1"/>
        <v>CH01-04. Plan 모드 &amp; Checkpoint로 안전하게 작업하기</v>
      </c>
      <c r="N13" s="146"/>
      <c r="O13" s="160"/>
      <c r="P13" s="161"/>
      <c r="Q13" s="162"/>
      <c r="R13" s="163"/>
      <c r="S13" s="164"/>
      <c r="T13" s="160"/>
      <c r="U13" s="165"/>
    </row>
    <row r="14">
      <c r="A14" s="137"/>
      <c r="B14" s="149" t="b">
        <v>0</v>
      </c>
      <c r="C14" s="166" t="s">
        <v>13</v>
      </c>
      <c r="D14" s="167" t="s">
        <v>185</v>
      </c>
      <c r="E14" s="172" t="s">
        <v>179</v>
      </c>
      <c r="F14" s="168" t="s">
        <v>186</v>
      </c>
      <c r="G14" s="169" t="s">
        <v>193</v>
      </c>
      <c r="H14" s="174" t="s">
        <v>194</v>
      </c>
      <c r="I14" s="170">
        <v>10.0</v>
      </c>
      <c r="J14" s="173"/>
      <c r="K14" s="157" t="b">
        <v>0</v>
      </c>
      <c r="L14" s="171" t="b">
        <v>0</v>
      </c>
      <c r="M14" s="159" t="str">
        <f t="shared" si="1"/>
        <v>CH01-05. Fast Mode &amp; 비용 관리 전략</v>
      </c>
      <c r="N14" s="146"/>
      <c r="O14" s="160"/>
      <c r="P14" s="161"/>
      <c r="Q14" s="162"/>
      <c r="R14" s="163"/>
      <c r="S14" s="164"/>
      <c r="T14" s="160"/>
      <c r="U14" s="165"/>
    </row>
    <row r="15">
      <c r="A15" s="137"/>
      <c r="B15" s="149" t="b">
        <v>0</v>
      </c>
      <c r="C15" s="166" t="s">
        <v>13</v>
      </c>
      <c r="D15" s="167" t="s">
        <v>185</v>
      </c>
      <c r="E15" s="172" t="s">
        <v>195</v>
      </c>
      <c r="F15" s="168" t="s">
        <v>196</v>
      </c>
      <c r="G15" s="169" t="s">
        <v>181</v>
      </c>
      <c r="H15" s="174" t="s">
        <v>197</v>
      </c>
      <c r="I15" s="170">
        <v>15.0</v>
      </c>
      <c r="J15" s="173"/>
      <c r="K15" s="157" t="b">
        <v>0</v>
      </c>
      <c r="L15" s="171" t="b">
        <v>0</v>
      </c>
      <c r="M15" s="159" t="str">
        <f t="shared" si="1"/>
        <v>CH02-01. 서브에이전트란? Explore / Plan / General-purpose 완전 이해</v>
      </c>
      <c r="N15" s="146"/>
      <c r="O15" s="160"/>
      <c r="P15" s="161"/>
      <c r="Q15" s="162"/>
      <c r="R15" s="163"/>
      <c r="S15" s="164"/>
      <c r="T15" s="160"/>
      <c r="U15" s="165"/>
    </row>
    <row r="16">
      <c r="A16" s="137"/>
      <c r="B16" s="149" t="b">
        <v>0</v>
      </c>
      <c r="C16" s="166" t="s">
        <v>13</v>
      </c>
      <c r="D16" s="167" t="s">
        <v>185</v>
      </c>
      <c r="E16" s="172" t="s">
        <v>195</v>
      </c>
      <c r="F16" s="168" t="s">
        <v>196</v>
      </c>
      <c r="G16" s="169" t="s">
        <v>183</v>
      </c>
      <c r="H16" s="174" t="s">
        <v>198</v>
      </c>
      <c r="I16" s="170">
        <v>25.0</v>
      </c>
      <c r="J16" s="173"/>
      <c r="K16" s="157" t="b">
        <v>0</v>
      </c>
      <c r="L16" s="171" t="b">
        <v>0</v>
      </c>
      <c r="M16" s="159" t="str">
        <f t="shared" si="1"/>
        <v>CH02-02. 데이터 분석 전용 커스텀 서브에이전트 만들기</v>
      </c>
      <c r="N16" s="146"/>
      <c r="O16" s="160"/>
      <c r="P16" s="161"/>
      <c r="Q16" s="162"/>
      <c r="R16" s="163"/>
      <c r="S16" s="164"/>
      <c r="T16" s="160"/>
      <c r="U16" s="165"/>
    </row>
    <row r="17">
      <c r="A17" s="137"/>
      <c r="B17" s="149" t="b">
        <v>0</v>
      </c>
      <c r="C17" s="166" t="s">
        <v>13</v>
      </c>
      <c r="D17" s="167" t="s">
        <v>185</v>
      </c>
      <c r="E17" s="172" t="s">
        <v>195</v>
      </c>
      <c r="F17" s="168" t="s">
        <v>196</v>
      </c>
      <c r="G17" s="169" t="s">
        <v>189</v>
      </c>
      <c r="H17" s="174" t="s">
        <v>199</v>
      </c>
      <c r="I17" s="170">
        <v>20.0</v>
      </c>
      <c r="J17" s="173"/>
      <c r="K17" s="157" t="b">
        <v>0</v>
      </c>
      <c r="L17" s="171" t="b">
        <v>0</v>
      </c>
      <c r="M17" s="159" t="str">
        <f t="shared" si="1"/>
        <v>CH02-03. 서브에이전트 도구 제한 &amp; 비용 최적화 전략</v>
      </c>
      <c r="N17" s="146"/>
      <c r="O17" s="160"/>
      <c r="P17" s="161"/>
      <c r="Q17" s="162"/>
      <c r="R17" s="163"/>
      <c r="S17" s="164"/>
      <c r="T17" s="160"/>
      <c r="U17" s="165"/>
    </row>
    <row r="18">
      <c r="A18" s="137"/>
      <c r="B18" s="149" t="b">
        <v>0</v>
      </c>
      <c r="C18" s="166" t="s">
        <v>13</v>
      </c>
      <c r="D18" s="167" t="s">
        <v>185</v>
      </c>
      <c r="E18" s="172" t="s">
        <v>200</v>
      </c>
      <c r="F18" s="168" t="s">
        <v>201</v>
      </c>
      <c r="G18" s="169" t="s">
        <v>181</v>
      </c>
      <c r="H18" s="174" t="s">
        <v>202</v>
      </c>
      <c r="I18" s="170">
        <v>15.0</v>
      </c>
      <c r="J18" s="173"/>
      <c r="K18" s="157" t="b">
        <v>0</v>
      </c>
      <c r="L18" s="171" t="b">
        <v>0</v>
      </c>
      <c r="M18" s="159" t="str">
        <f t="shared" si="1"/>
        <v>CH03-01. 에이전트 팀 vs 서브에이전트 — 언제 어떤 걸 써야 하나?</v>
      </c>
      <c r="N18" s="146"/>
      <c r="O18" s="160"/>
      <c r="P18" s="161"/>
      <c r="Q18" s="162"/>
      <c r="R18" s="163"/>
      <c r="S18" s="164"/>
      <c r="T18" s="160"/>
      <c r="U18" s="165"/>
    </row>
    <row r="19">
      <c r="A19" s="137"/>
      <c r="B19" s="149" t="b">
        <v>0</v>
      </c>
      <c r="C19" s="166" t="s">
        <v>13</v>
      </c>
      <c r="D19" s="167" t="s">
        <v>185</v>
      </c>
      <c r="E19" s="172" t="s">
        <v>200</v>
      </c>
      <c r="F19" s="168" t="s">
        <v>201</v>
      </c>
      <c r="G19" s="169" t="s">
        <v>183</v>
      </c>
      <c r="H19" s="174" t="s">
        <v>203</v>
      </c>
      <c r="I19" s="170">
        <v>20.0</v>
      </c>
      <c r="J19" s="173"/>
      <c r="K19" s="157" t="b">
        <v>0</v>
      </c>
      <c r="L19" s="171" t="b">
        <v>0</v>
      </c>
      <c r="M19" s="159" t="str">
        <f t="shared" si="1"/>
        <v>CH03-02. 팀장 + 팀원 설정 &amp; 병렬 작업 시작하기</v>
      </c>
      <c r="N19" s="146"/>
      <c r="O19" s="160"/>
      <c r="P19" s="161"/>
      <c r="Q19" s="162"/>
      <c r="R19" s="163"/>
      <c r="S19" s="164"/>
      <c r="T19" s="160"/>
      <c r="U19" s="165"/>
    </row>
    <row r="20">
      <c r="A20" s="137"/>
      <c r="B20" s="149" t="b">
        <v>0</v>
      </c>
      <c r="C20" s="166" t="s">
        <v>13</v>
      </c>
      <c r="D20" s="167" t="s">
        <v>185</v>
      </c>
      <c r="E20" s="172" t="s">
        <v>200</v>
      </c>
      <c r="F20" s="168" t="s">
        <v>201</v>
      </c>
      <c r="G20" s="169" t="s">
        <v>189</v>
      </c>
      <c r="H20" s="174" t="s">
        <v>204</v>
      </c>
      <c r="I20" s="170">
        <v>15.0</v>
      </c>
      <c r="J20" s="173"/>
      <c r="K20" s="157" t="b">
        <v>0</v>
      </c>
      <c r="L20" s="171" t="b">
        <v>0</v>
      </c>
      <c r="M20" s="159" t="str">
        <f t="shared" si="1"/>
        <v>CH03-03. 팀원 간 직접 소통 &amp; 공유 태스크 리스트 운영</v>
      </c>
      <c r="N20" s="146"/>
      <c r="O20" s="160"/>
      <c r="P20" s="161"/>
      <c r="Q20" s="162"/>
      <c r="R20" s="163"/>
      <c r="S20" s="164"/>
      <c r="T20" s="160"/>
      <c r="U20" s="165"/>
    </row>
    <row r="21">
      <c r="A21" s="137"/>
      <c r="B21" s="149" t="b">
        <v>0</v>
      </c>
      <c r="C21" s="166" t="s">
        <v>13</v>
      </c>
      <c r="D21" s="167" t="s">
        <v>185</v>
      </c>
      <c r="E21" s="172" t="s">
        <v>200</v>
      </c>
      <c r="F21" s="168" t="s">
        <v>201</v>
      </c>
      <c r="G21" s="169" t="s">
        <v>191</v>
      </c>
      <c r="H21" s="174" t="s">
        <v>205</v>
      </c>
      <c r="I21" s="170">
        <v>20.0</v>
      </c>
      <c r="J21" s="173"/>
      <c r="K21" s="157" t="b">
        <v>0</v>
      </c>
      <c r="L21" s="171" t="b">
        <v>0</v>
      </c>
      <c r="M21" s="159" t="str">
        <f t="shared" si="1"/>
        <v>CH03-04. 에이전트 팀으로 대규모 데이터 분석 자동화 실습</v>
      </c>
      <c r="N21" s="146"/>
      <c r="O21" s="160"/>
      <c r="P21" s="161"/>
      <c r="Q21" s="162"/>
      <c r="R21" s="163"/>
      <c r="S21" s="164"/>
      <c r="T21" s="160"/>
      <c r="U21" s="165"/>
    </row>
    <row r="22">
      <c r="A22" s="137"/>
      <c r="B22" s="149" t="b">
        <v>0</v>
      </c>
      <c r="C22" s="166" t="s">
        <v>40</v>
      </c>
      <c r="D22" s="167" t="s">
        <v>206</v>
      </c>
      <c r="E22" s="175" t="s">
        <v>179</v>
      </c>
      <c r="F22" s="168" t="s">
        <v>207</v>
      </c>
      <c r="G22" s="169" t="s">
        <v>181</v>
      </c>
      <c r="H22" s="174" t="s">
        <v>208</v>
      </c>
      <c r="I22" s="170">
        <v>15.0</v>
      </c>
      <c r="J22" s="173"/>
      <c r="K22" s="157" t="b">
        <v>0</v>
      </c>
      <c r="L22" s="171" t="b">
        <v>0</v>
      </c>
      <c r="M22" s="159" t="str">
        <f t="shared" si="1"/>
        <v>CH01-01. Desktop App — 병렬 세션 &amp; Git 격리 &amp; 비주얼 Diff 리뷰</v>
      </c>
      <c r="N22" s="146"/>
      <c r="O22" s="160"/>
      <c r="P22" s="161"/>
      <c r="Q22" s="162"/>
      <c r="R22" s="163"/>
      <c r="S22" s="164"/>
      <c r="T22" s="160"/>
      <c r="U22" s="165"/>
    </row>
    <row r="23">
      <c r="A23" s="137"/>
      <c r="B23" s="149" t="b">
        <v>0</v>
      </c>
      <c r="C23" s="166" t="s">
        <v>40</v>
      </c>
      <c r="D23" s="167" t="s">
        <v>206</v>
      </c>
      <c r="E23" s="175" t="s">
        <v>179</v>
      </c>
      <c r="F23" s="168" t="s">
        <v>207</v>
      </c>
      <c r="G23" s="169" t="s">
        <v>183</v>
      </c>
      <c r="H23" s="174" t="s">
        <v>209</v>
      </c>
      <c r="I23" s="170">
        <v>15.0</v>
      </c>
      <c r="J23" s="173"/>
      <c r="K23" s="157" t="b">
        <v>0</v>
      </c>
      <c r="L23" s="171" t="b">
        <v>0</v>
      </c>
      <c r="M23" s="159" t="str">
        <f t="shared" si="1"/>
        <v>CH01-02. Claude Code on the Web — 비동기 클라우드 실행</v>
      </c>
      <c r="N23" s="146"/>
      <c r="O23" s="160"/>
      <c r="P23" s="161"/>
      <c r="Q23" s="162"/>
      <c r="R23" s="163"/>
      <c r="S23" s="164"/>
      <c r="T23" s="160"/>
      <c r="U23" s="165"/>
    </row>
    <row r="24">
      <c r="A24" s="137"/>
      <c r="B24" s="149" t="b">
        <v>0</v>
      </c>
      <c r="C24" s="166" t="s">
        <v>40</v>
      </c>
      <c r="D24" s="167" t="s">
        <v>206</v>
      </c>
      <c r="E24" s="175" t="s">
        <v>179</v>
      </c>
      <c r="F24" s="168" t="s">
        <v>207</v>
      </c>
      <c r="G24" s="169" t="s">
        <v>189</v>
      </c>
      <c r="H24" s="174" t="s">
        <v>210</v>
      </c>
      <c r="I24" s="170">
        <v>10.0</v>
      </c>
      <c r="J24" s="173"/>
      <c r="K24" s="157" t="b">
        <v>0</v>
      </c>
      <c r="L24" s="171" t="b">
        <v>0</v>
      </c>
      <c r="M24" s="159" t="str">
        <f t="shared" si="1"/>
        <v>CH01-03. Chrome 연동 — 웹 대시보드 자동 테스트 &amp; 디버깅</v>
      </c>
      <c r="N24" s="146"/>
      <c r="O24" s="160"/>
      <c r="P24" s="161"/>
      <c r="Q24" s="162"/>
      <c r="R24" s="163"/>
      <c r="S24" s="164"/>
      <c r="T24" s="160"/>
      <c r="U24" s="165"/>
    </row>
    <row r="25">
      <c r="A25" s="137"/>
      <c r="B25" s="149" t="b">
        <v>0</v>
      </c>
      <c r="C25" s="166" t="s">
        <v>40</v>
      </c>
      <c r="D25" s="167" t="s">
        <v>206</v>
      </c>
      <c r="E25" s="175" t="s">
        <v>195</v>
      </c>
      <c r="F25" s="168" t="s">
        <v>211</v>
      </c>
      <c r="G25" s="169" t="s">
        <v>181</v>
      </c>
      <c r="H25" s="174" t="s">
        <v>212</v>
      </c>
      <c r="I25" s="170">
        <v>15.0</v>
      </c>
      <c r="J25" s="173"/>
      <c r="K25" s="157" t="b">
        <v>0</v>
      </c>
      <c r="L25" s="171" t="b">
        <v>0</v>
      </c>
      <c r="M25" s="159" t="str">
        <f t="shared" si="1"/>
        <v>CH02-01. MCP (Model Context Protocol) 개념 &amp; 설치</v>
      </c>
      <c r="N25" s="146"/>
      <c r="O25" s="160"/>
      <c r="P25" s="161"/>
      <c r="Q25" s="162"/>
      <c r="R25" s="163"/>
      <c r="S25" s="164"/>
      <c r="T25" s="160"/>
      <c r="U25" s="165"/>
    </row>
    <row r="26">
      <c r="A26" s="137"/>
      <c r="B26" s="149" t="b">
        <v>0</v>
      </c>
      <c r="C26" s="166" t="s">
        <v>40</v>
      </c>
      <c r="D26" s="167" t="s">
        <v>206</v>
      </c>
      <c r="E26" s="175" t="s">
        <v>195</v>
      </c>
      <c r="F26" s="168" t="s">
        <v>211</v>
      </c>
      <c r="G26" s="169" t="s">
        <v>183</v>
      </c>
      <c r="H26" s="174" t="s">
        <v>213</v>
      </c>
      <c r="I26" s="170">
        <v>20.0</v>
      </c>
      <c r="J26" s="173"/>
      <c r="K26" s="157" t="b">
        <v>0</v>
      </c>
      <c r="L26" s="171" t="b">
        <v>0</v>
      </c>
      <c r="M26" s="159" t="str">
        <f t="shared" si="1"/>
        <v>CH02-02. Google Sheets MCP로 데이터 자동 연동하기</v>
      </c>
      <c r="N26" s="146"/>
      <c r="O26" s="160"/>
      <c r="P26" s="161"/>
      <c r="Q26" s="162"/>
      <c r="R26" s="163"/>
      <c r="S26" s="164"/>
      <c r="T26" s="160"/>
      <c r="U26" s="165"/>
    </row>
    <row r="27">
      <c r="A27" s="137"/>
      <c r="B27" s="149" t="b">
        <v>0</v>
      </c>
      <c r="C27" s="166" t="s">
        <v>40</v>
      </c>
      <c r="D27" s="167" t="s">
        <v>206</v>
      </c>
      <c r="E27" s="175" t="s">
        <v>195</v>
      </c>
      <c r="F27" s="168" t="s">
        <v>211</v>
      </c>
      <c r="G27" s="169" t="s">
        <v>189</v>
      </c>
      <c r="H27" s="174" t="s">
        <v>214</v>
      </c>
      <c r="I27" s="170">
        <v>15.0</v>
      </c>
      <c r="J27" s="173"/>
      <c r="K27" s="157" t="b">
        <v>0</v>
      </c>
      <c r="L27" s="171" t="b">
        <v>0</v>
      </c>
      <c r="M27" s="159" t="str">
        <f t="shared" si="1"/>
        <v>CH02-03. Slack / 이메일 MCP로 자동 알림 파이프라인 만들기</v>
      </c>
      <c r="N27" s="146"/>
      <c r="O27" s="160"/>
      <c r="P27" s="161"/>
      <c r="Q27" s="162"/>
      <c r="R27" s="163"/>
      <c r="S27" s="164"/>
      <c r="T27" s="160"/>
      <c r="U27" s="165"/>
    </row>
    <row r="28">
      <c r="A28" s="137"/>
      <c r="B28" s="149" t="b">
        <v>0</v>
      </c>
      <c r="C28" s="166" t="s">
        <v>40</v>
      </c>
      <c r="D28" s="167" t="s">
        <v>206</v>
      </c>
      <c r="E28" s="175" t="s">
        <v>195</v>
      </c>
      <c r="F28" s="168" t="s">
        <v>211</v>
      </c>
      <c r="G28" s="169" t="s">
        <v>191</v>
      </c>
      <c r="H28" s="174" t="s">
        <v>215</v>
      </c>
      <c r="I28" s="170">
        <v>10.0</v>
      </c>
      <c r="J28" s="173"/>
      <c r="K28" s="157" t="b">
        <v>0</v>
      </c>
      <c r="L28" s="171" t="b">
        <v>0</v>
      </c>
      <c r="M28" s="159" t="str">
        <f t="shared" si="1"/>
        <v>CH02-04. Hooks &amp; Skills — 반복 워크플로우 자동화</v>
      </c>
      <c r="N28" s="146"/>
      <c r="O28" s="160"/>
      <c r="P28" s="161"/>
      <c r="Q28" s="162"/>
      <c r="R28" s="163"/>
      <c r="S28" s="164"/>
      <c r="T28" s="160"/>
      <c r="U28" s="165"/>
    </row>
    <row r="29">
      <c r="A29" s="137"/>
      <c r="B29" s="149" t="b">
        <v>0</v>
      </c>
      <c r="C29" s="166" t="s">
        <v>50</v>
      </c>
      <c r="D29" s="167" t="s">
        <v>216</v>
      </c>
      <c r="E29" s="175" t="s">
        <v>179</v>
      </c>
      <c r="F29" s="168" t="s">
        <v>217</v>
      </c>
      <c r="G29" s="169" t="s">
        <v>181</v>
      </c>
      <c r="H29" s="174" t="s">
        <v>218</v>
      </c>
      <c r="I29" s="170">
        <v>20.0</v>
      </c>
      <c r="J29" s="173"/>
      <c r="K29" s="157" t="b">
        <v>0</v>
      </c>
      <c r="L29" s="171" t="b">
        <v>0</v>
      </c>
      <c r="M29" s="159" t="str">
        <f t="shared" si="1"/>
        <v>CH01-01. 데이터 구조 분석 → 시각화 전략 자동 도출</v>
      </c>
      <c r="N29" s="146"/>
      <c r="O29" s="160"/>
      <c r="P29" s="161"/>
      <c r="Q29" s="162"/>
      <c r="R29" s="163"/>
      <c r="S29" s="164"/>
      <c r="T29" s="160"/>
      <c r="U29" s="165"/>
    </row>
    <row r="30">
      <c r="A30" s="137"/>
      <c r="B30" s="149" t="b">
        <v>0</v>
      </c>
      <c r="C30" s="166" t="s">
        <v>50</v>
      </c>
      <c r="D30" s="167" t="s">
        <v>216</v>
      </c>
      <c r="E30" s="175" t="s">
        <v>179</v>
      </c>
      <c r="F30" s="168" t="s">
        <v>217</v>
      </c>
      <c r="G30" s="169" t="s">
        <v>183</v>
      </c>
      <c r="H30" s="174" t="s">
        <v>219</v>
      </c>
      <c r="I30" s="170">
        <v>20.0</v>
      </c>
      <c r="J30" s="173"/>
      <c r="K30" s="157" t="b">
        <v>0</v>
      </c>
      <c r="L30" s="171" t="b">
        <v>0</v>
      </c>
      <c r="M30" s="159" t="str">
        <f t="shared" si="1"/>
        <v>CH01-02. KPI 히어라키 자동 설계하기</v>
      </c>
      <c r="N30" s="146"/>
      <c r="O30" s="160"/>
      <c r="P30" s="161"/>
      <c r="Q30" s="162"/>
      <c r="R30" s="163"/>
      <c r="S30" s="164"/>
      <c r="T30" s="160"/>
      <c r="U30" s="165"/>
    </row>
    <row r="31">
      <c r="A31" s="137"/>
      <c r="B31" s="149" t="b">
        <v>0</v>
      </c>
      <c r="C31" s="166" t="s">
        <v>50</v>
      </c>
      <c r="D31" s="167" t="s">
        <v>216</v>
      </c>
      <c r="E31" s="175" t="s">
        <v>179</v>
      </c>
      <c r="F31" s="168" t="s">
        <v>217</v>
      </c>
      <c r="G31" s="169" t="s">
        <v>189</v>
      </c>
      <c r="H31" s="174" t="s">
        <v>220</v>
      </c>
      <c r="I31" s="170">
        <v>15.0</v>
      </c>
      <c r="J31" s="156"/>
      <c r="K31" s="157" t="b">
        <v>0</v>
      </c>
      <c r="L31" s="171" t="b">
        <v>0</v>
      </c>
      <c r="M31" s="159" t="str">
        <f t="shared" si="1"/>
        <v>CH01-03. 시각화 설명 문구 자동 생성</v>
      </c>
      <c r="N31" s="146"/>
      <c r="O31" s="160"/>
      <c r="P31" s="161"/>
      <c r="Q31" s="162"/>
      <c r="R31" s="163"/>
      <c r="S31" s="164"/>
      <c r="T31" s="160"/>
      <c r="U31" s="165"/>
    </row>
    <row r="32">
      <c r="A32" s="137"/>
      <c r="B32" s="149" t="b">
        <v>0</v>
      </c>
      <c r="C32" s="166" t="s">
        <v>50</v>
      </c>
      <c r="D32" s="167" t="s">
        <v>216</v>
      </c>
      <c r="E32" s="175" t="s">
        <v>179</v>
      </c>
      <c r="F32" s="168" t="s">
        <v>217</v>
      </c>
      <c r="G32" s="169" t="s">
        <v>191</v>
      </c>
      <c r="H32" s="168" t="s">
        <v>221</v>
      </c>
      <c r="I32" s="170">
        <v>20.0</v>
      </c>
      <c r="J32" s="156"/>
      <c r="K32" s="157" t="b">
        <v>0</v>
      </c>
      <c r="L32" s="171" t="b">
        <v>0</v>
      </c>
      <c r="M32" s="159" t="str">
        <f t="shared" si="1"/>
        <v>CH01-04. Claude Code로 계산식 자동 생성 실습</v>
      </c>
      <c r="N32" s="146"/>
      <c r="O32" s="160"/>
      <c r="P32" s="161"/>
      <c r="Q32" s="162"/>
      <c r="R32" s="163"/>
      <c r="S32" s="164"/>
      <c r="T32" s="160"/>
      <c r="U32" s="165"/>
    </row>
    <row r="33">
      <c r="A33" s="137"/>
      <c r="B33" s="149" t="b">
        <v>0</v>
      </c>
      <c r="C33" s="166" t="s">
        <v>50</v>
      </c>
      <c r="D33" s="167" t="s">
        <v>216</v>
      </c>
      <c r="E33" s="175" t="s">
        <v>179</v>
      </c>
      <c r="F33" s="168" t="s">
        <v>217</v>
      </c>
      <c r="G33" s="169" t="s">
        <v>193</v>
      </c>
      <c r="H33" s="168" t="s">
        <v>222</v>
      </c>
      <c r="I33" s="170">
        <v>20.0</v>
      </c>
      <c r="J33" s="156"/>
      <c r="K33" s="157" t="b">
        <v>0</v>
      </c>
      <c r="L33" s="171" t="b">
        <v>0</v>
      </c>
      <c r="M33" s="159" t="str">
        <f t="shared" si="1"/>
        <v>CH01-05. 데이터 전처리 자동화 파이프라인 구축</v>
      </c>
      <c r="N33" s="146"/>
      <c r="O33" s="160"/>
      <c r="P33" s="161"/>
      <c r="Q33" s="162"/>
      <c r="R33" s="163"/>
      <c r="S33" s="164"/>
      <c r="T33" s="160"/>
      <c r="U33" s="165"/>
    </row>
    <row r="34">
      <c r="A34" s="137"/>
      <c r="B34" s="149" t="b">
        <v>0</v>
      </c>
      <c r="C34" s="166" t="s">
        <v>50</v>
      </c>
      <c r="D34" s="167" t="s">
        <v>216</v>
      </c>
      <c r="E34" s="175" t="s">
        <v>179</v>
      </c>
      <c r="F34" s="168" t="s">
        <v>217</v>
      </c>
      <c r="G34" s="169" t="s">
        <v>223</v>
      </c>
      <c r="H34" s="168" t="s">
        <v>224</v>
      </c>
      <c r="I34" s="176">
        <v>15.0</v>
      </c>
      <c r="J34" s="177"/>
      <c r="K34" s="157" t="b">
        <v>0</v>
      </c>
      <c r="L34" s="171" t="b">
        <v>0</v>
      </c>
      <c r="M34" s="159" t="str">
        <f t="shared" si="1"/>
        <v>CH01-06. 시각화 자동화 전체 워크플로우 완성하기</v>
      </c>
      <c r="N34" s="146"/>
      <c r="O34" s="160"/>
      <c r="P34" s="161"/>
      <c r="Q34" s="162"/>
      <c r="R34" s="163"/>
      <c r="S34" s="164"/>
      <c r="T34" s="160"/>
      <c r="U34" s="165"/>
    </row>
    <row r="35">
      <c r="A35" s="111"/>
      <c r="B35" s="149" t="b">
        <v>0</v>
      </c>
      <c r="C35" s="166" t="s">
        <v>50</v>
      </c>
      <c r="D35" s="167" t="s">
        <v>216</v>
      </c>
      <c r="E35" s="175" t="s">
        <v>179</v>
      </c>
      <c r="F35" s="168" t="s">
        <v>217</v>
      </c>
      <c r="G35" s="169" t="s">
        <v>225</v>
      </c>
      <c r="H35" s="178" t="s">
        <v>226</v>
      </c>
      <c r="I35" s="179">
        <v>5.0</v>
      </c>
      <c r="J35" s="177"/>
      <c r="K35" s="157" t="b">
        <v>0</v>
      </c>
      <c r="L35" s="171" t="b">
        <v>0</v>
      </c>
      <c r="M35" s="159" t="str">
        <f t="shared" si="1"/>
        <v>CH01-07. 비즈니스 데이터 시각화 프로젝트</v>
      </c>
      <c r="N35" s="146"/>
      <c r="O35" s="160"/>
      <c r="P35" s="161"/>
      <c r="Q35" s="162"/>
      <c r="R35" s="163"/>
      <c r="S35" s="164"/>
      <c r="T35" s="160"/>
      <c r="U35" s="165"/>
    </row>
    <row r="36">
      <c r="A36" s="111"/>
      <c r="B36" s="149" t="b">
        <v>0</v>
      </c>
      <c r="C36" s="166" t="s">
        <v>60</v>
      </c>
      <c r="D36" s="167" t="s">
        <v>227</v>
      </c>
      <c r="E36" s="175" t="s">
        <v>179</v>
      </c>
      <c r="F36" s="168" t="s">
        <v>228</v>
      </c>
      <c r="G36" s="169" t="s">
        <v>181</v>
      </c>
      <c r="H36" s="168" t="s">
        <v>229</v>
      </c>
      <c r="I36" s="180">
        <v>20.0</v>
      </c>
      <c r="J36" s="177"/>
      <c r="K36" s="157" t="b">
        <v>0</v>
      </c>
      <c r="L36" s="171" t="b">
        <v>0</v>
      </c>
      <c r="M36" s="159" t="str">
        <f t="shared" si="1"/>
        <v>CH01-01. D3.js 기초 — Claude Code로 30분 만에 익히기</v>
      </c>
      <c r="N36" s="146"/>
      <c r="O36" s="160"/>
      <c r="P36" s="161"/>
      <c r="Q36" s="162"/>
      <c r="R36" s="163"/>
      <c r="S36" s="164"/>
      <c r="T36" s="160"/>
      <c r="U36" s="165"/>
    </row>
    <row r="37">
      <c r="A37" s="111"/>
      <c r="B37" s="149" t="b">
        <v>0</v>
      </c>
      <c r="C37" s="166" t="s">
        <v>60</v>
      </c>
      <c r="D37" s="167" t="s">
        <v>227</v>
      </c>
      <c r="E37" s="175" t="s">
        <v>179</v>
      </c>
      <c r="F37" s="168" t="s">
        <v>228</v>
      </c>
      <c r="G37" s="169" t="s">
        <v>183</v>
      </c>
      <c r="H37" s="168" t="s">
        <v>230</v>
      </c>
      <c r="I37" s="180">
        <v>20.0</v>
      </c>
      <c r="J37" s="177"/>
      <c r="K37" s="157" t="b">
        <v>0</v>
      </c>
      <c r="L37" s="171" t="b">
        <v>0</v>
      </c>
      <c r="M37" s="159" t="str">
        <f t="shared" si="1"/>
        <v>CH01-02. 인터랙티브 차트 제작 실습</v>
      </c>
      <c r="N37" s="146"/>
      <c r="O37" s="160"/>
      <c r="P37" s="161"/>
      <c r="Q37" s="162"/>
      <c r="R37" s="163"/>
      <c r="S37" s="164"/>
      <c r="T37" s="160"/>
      <c r="U37" s="165"/>
    </row>
    <row r="38">
      <c r="A38" s="111"/>
      <c r="B38" s="149" t="b">
        <v>0</v>
      </c>
      <c r="C38" s="166" t="s">
        <v>60</v>
      </c>
      <c r="D38" s="167" t="s">
        <v>227</v>
      </c>
      <c r="E38" s="175" t="s">
        <v>179</v>
      </c>
      <c r="F38" s="168" t="s">
        <v>228</v>
      </c>
      <c r="G38" s="169" t="s">
        <v>189</v>
      </c>
      <c r="H38" s="174" t="s">
        <v>231</v>
      </c>
      <c r="I38" s="180">
        <v>20.0</v>
      </c>
      <c r="J38" s="177"/>
      <c r="K38" s="157" t="b">
        <v>0</v>
      </c>
      <c r="L38" s="171" t="b">
        <v>0</v>
      </c>
      <c r="M38" s="159" t="str">
        <f t="shared" si="1"/>
        <v>CH01-03. Tableau Extensions API 연동</v>
      </c>
      <c r="N38" s="146"/>
      <c r="O38" s="160"/>
      <c r="P38" s="161"/>
      <c r="Q38" s="162"/>
      <c r="R38" s="163"/>
      <c r="S38" s="164"/>
      <c r="T38" s="160"/>
      <c r="U38" s="165"/>
    </row>
    <row r="39">
      <c r="A39" s="111"/>
      <c r="B39" s="149" t="b">
        <v>0</v>
      </c>
      <c r="C39" s="166" t="s">
        <v>60</v>
      </c>
      <c r="D39" s="167" t="s">
        <v>227</v>
      </c>
      <c r="E39" s="175" t="s">
        <v>179</v>
      </c>
      <c r="F39" s="168" t="s">
        <v>228</v>
      </c>
      <c r="G39" s="169" t="s">
        <v>191</v>
      </c>
      <c r="H39" s="174" t="s">
        <v>232</v>
      </c>
      <c r="I39" s="180">
        <v>15.0</v>
      </c>
      <c r="J39" s="177"/>
      <c r="K39" s="181" t="b">
        <v>0</v>
      </c>
      <c r="L39" s="171" t="b">
        <v>0</v>
      </c>
      <c r="M39" s="159" t="str">
        <f t="shared" si="1"/>
        <v>CH01-04. 커스텀 Extension 배포하기</v>
      </c>
      <c r="N39" s="146"/>
      <c r="O39" s="160"/>
      <c r="P39" s="161"/>
      <c r="Q39" s="162"/>
      <c r="R39" s="163"/>
      <c r="S39" s="164"/>
      <c r="T39" s="160"/>
      <c r="U39" s="165"/>
    </row>
    <row r="40">
      <c r="A40" s="111"/>
      <c r="B40" s="149" t="b">
        <v>0</v>
      </c>
      <c r="C40" s="166" t="s">
        <v>60</v>
      </c>
      <c r="D40" s="167" t="s">
        <v>227</v>
      </c>
      <c r="E40" s="175" t="s">
        <v>179</v>
      </c>
      <c r="F40" s="168" t="s">
        <v>228</v>
      </c>
      <c r="G40" s="182" t="s">
        <v>193</v>
      </c>
      <c r="H40" s="178" t="s">
        <v>233</v>
      </c>
      <c r="I40" s="183">
        <v>5.0</v>
      </c>
      <c r="J40" s="184"/>
      <c r="K40" s="181" t="b">
        <v>0</v>
      </c>
      <c r="L40" s="171" t="b">
        <v>0</v>
      </c>
      <c r="M40" s="159" t="str">
        <f t="shared" si="1"/>
        <v>CH01-05. 어벤져스급 스케일의 화려한 데이터 시각화 프로젝트</v>
      </c>
      <c r="N40" s="146"/>
      <c r="O40" s="160"/>
      <c r="P40" s="161"/>
      <c r="Q40" s="162"/>
      <c r="R40" s="163"/>
      <c r="S40" s="164"/>
      <c r="T40" s="160"/>
      <c r="U40" s="165"/>
    </row>
    <row r="41">
      <c r="A41" s="111"/>
      <c r="B41" s="149" t="b">
        <v>0</v>
      </c>
      <c r="C41" s="166" t="s">
        <v>60</v>
      </c>
      <c r="D41" s="167" t="s">
        <v>227</v>
      </c>
      <c r="E41" s="175" t="s">
        <v>195</v>
      </c>
      <c r="F41" s="185" t="s">
        <v>234</v>
      </c>
      <c r="G41" s="169" t="s">
        <v>181</v>
      </c>
      <c r="H41" s="186" t="s">
        <v>235</v>
      </c>
      <c r="I41" s="187">
        <v>15.0</v>
      </c>
      <c r="J41" s="184"/>
      <c r="K41" s="181" t="b">
        <v>0</v>
      </c>
      <c r="L41" s="171" t="b">
        <v>0</v>
      </c>
      <c r="M41" s="159" t="str">
        <f t="shared" si="1"/>
        <v>CH02-01. Antigravity 소개 &amp; 셋업</v>
      </c>
      <c r="N41" s="146"/>
      <c r="O41" s="160"/>
      <c r="P41" s="161"/>
      <c r="Q41" s="162"/>
      <c r="R41" s="163"/>
      <c r="S41" s="164"/>
      <c r="T41" s="160"/>
      <c r="U41" s="165"/>
    </row>
    <row r="42">
      <c r="A42" s="111"/>
      <c r="B42" s="149" t="b">
        <v>0</v>
      </c>
      <c r="C42" s="166" t="s">
        <v>60</v>
      </c>
      <c r="D42" s="167" t="s">
        <v>227</v>
      </c>
      <c r="E42" s="175" t="s">
        <v>195</v>
      </c>
      <c r="F42" s="185" t="s">
        <v>234</v>
      </c>
      <c r="G42" s="169" t="s">
        <v>183</v>
      </c>
      <c r="H42" s="168" t="s">
        <v>236</v>
      </c>
      <c r="I42" s="180">
        <v>25.0</v>
      </c>
      <c r="J42" s="177"/>
      <c r="K42" s="181" t="b">
        <v>0</v>
      </c>
      <c r="L42" s="171" t="b">
        <v>0</v>
      </c>
      <c r="M42" s="159" t="str">
        <f t="shared" si="1"/>
        <v>CH02-02. Claude Code + Antigravity 실전 프로젝트</v>
      </c>
      <c r="N42" s="146"/>
      <c r="O42" s="160"/>
      <c r="P42" s="161"/>
      <c r="Q42" s="162"/>
      <c r="R42" s="163"/>
      <c r="S42" s="164"/>
      <c r="T42" s="160"/>
      <c r="U42" s="165"/>
    </row>
    <row r="43">
      <c r="A43" s="111"/>
      <c r="B43" s="188" t="b">
        <v>0</v>
      </c>
      <c r="C43" s="166" t="s">
        <v>60</v>
      </c>
      <c r="D43" s="167" t="s">
        <v>227</v>
      </c>
      <c r="E43" s="175" t="s">
        <v>195</v>
      </c>
      <c r="F43" s="185" t="s">
        <v>234</v>
      </c>
      <c r="G43" s="169" t="s">
        <v>189</v>
      </c>
      <c r="H43" s="178" t="s">
        <v>237</v>
      </c>
      <c r="I43" s="180">
        <v>15.0</v>
      </c>
      <c r="J43" s="177"/>
      <c r="K43" s="181" t="b">
        <v>0</v>
      </c>
      <c r="L43" s="171" t="b">
        <v>0</v>
      </c>
      <c r="M43" s="159" t="str">
        <f t="shared" si="1"/>
        <v>CH02-03. 웹용 포트폴리오 블로그 만들기</v>
      </c>
      <c r="N43" s="146"/>
      <c r="O43" s="160"/>
      <c r="P43" s="161"/>
      <c r="Q43" s="162"/>
      <c r="R43" s="163"/>
      <c r="S43" s="164"/>
      <c r="T43" s="160"/>
      <c r="U43" s="165"/>
    </row>
    <row r="44">
      <c r="A44" s="111"/>
      <c r="B44" s="189" t="b">
        <v>0</v>
      </c>
      <c r="C44" s="190" t="s">
        <v>60</v>
      </c>
      <c r="D44" s="191" t="s">
        <v>227</v>
      </c>
      <c r="E44" s="175" t="s">
        <v>195</v>
      </c>
      <c r="F44" s="185" t="s">
        <v>234</v>
      </c>
      <c r="G44" s="190" t="s">
        <v>191</v>
      </c>
      <c r="H44" s="191" t="s">
        <v>238</v>
      </c>
      <c r="I44" s="192">
        <v>10.0</v>
      </c>
      <c r="J44" s="177"/>
      <c r="K44" s="181" t="b">
        <v>0</v>
      </c>
      <c r="L44" s="171" t="b">
        <v>0</v>
      </c>
      <c r="M44" s="159" t="str">
        <f t="shared" si="1"/>
        <v>CH02-04. AI 생성 시각화 디자인 완성하기</v>
      </c>
      <c r="N44" s="146"/>
      <c r="O44" s="160"/>
      <c r="P44" s="161"/>
      <c r="Q44" s="162"/>
      <c r="R44" s="163"/>
      <c r="S44" s="164"/>
      <c r="T44" s="160"/>
      <c r="U44" s="165"/>
    </row>
    <row r="45">
      <c r="A45" s="111"/>
      <c r="B45" s="189" t="b">
        <v>0</v>
      </c>
      <c r="C45" s="190" t="s">
        <v>79</v>
      </c>
      <c r="D45" s="191" t="s">
        <v>239</v>
      </c>
      <c r="E45" s="175" t="s">
        <v>179</v>
      </c>
      <c r="F45" s="193" t="s">
        <v>240</v>
      </c>
      <c r="G45" s="190" t="s">
        <v>181</v>
      </c>
      <c r="H45" s="191" t="s">
        <v>241</v>
      </c>
      <c r="I45" s="192">
        <v>15.0</v>
      </c>
      <c r="J45" s="177"/>
      <c r="K45" s="181" t="b">
        <v>0</v>
      </c>
      <c r="L45" s="171" t="b">
        <v>0</v>
      </c>
      <c r="M45" s="159" t="str">
        <f t="shared" si="1"/>
        <v>CH01-01. 마케팅 KPI 데이터 구조 설계</v>
      </c>
      <c r="N45" s="146"/>
      <c r="O45" s="160"/>
      <c r="P45" s="161"/>
      <c r="Q45" s="162"/>
      <c r="R45" s="163"/>
      <c r="S45" s="164"/>
      <c r="T45" s="160"/>
      <c r="U45" s="165"/>
    </row>
    <row r="46">
      <c r="A46" s="111"/>
      <c r="B46" s="189" t="b">
        <v>0</v>
      </c>
      <c r="C46" s="190" t="s">
        <v>79</v>
      </c>
      <c r="D46" s="191" t="s">
        <v>239</v>
      </c>
      <c r="E46" s="175" t="s">
        <v>179</v>
      </c>
      <c r="F46" s="191" t="s">
        <v>240</v>
      </c>
      <c r="G46" s="190" t="s">
        <v>183</v>
      </c>
      <c r="H46" s="191" t="s">
        <v>242</v>
      </c>
      <c r="I46" s="192">
        <v>20.0</v>
      </c>
      <c r="J46" s="177"/>
      <c r="K46" s="181" t="b">
        <v>0</v>
      </c>
      <c r="L46" s="171" t="b">
        <v>0</v>
      </c>
      <c r="M46" s="159" t="str">
        <f t="shared" si="1"/>
        <v>CH01-02. 채널별 ROI·전환율 시각화</v>
      </c>
      <c r="N46" s="146"/>
      <c r="O46" s="160"/>
      <c r="P46" s="161"/>
      <c r="Q46" s="162"/>
      <c r="R46" s="163"/>
      <c r="S46" s="164"/>
      <c r="T46" s="160"/>
      <c r="U46" s="165"/>
    </row>
    <row r="47">
      <c r="A47" s="111"/>
      <c r="B47" s="189" t="b">
        <v>0</v>
      </c>
      <c r="C47" s="190" t="s">
        <v>79</v>
      </c>
      <c r="D47" s="191" t="s">
        <v>239</v>
      </c>
      <c r="E47" s="175" t="s">
        <v>179</v>
      </c>
      <c r="F47" s="191" t="s">
        <v>240</v>
      </c>
      <c r="G47" s="190" t="s">
        <v>189</v>
      </c>
      <c r="H47" s="191" t="s">
        <v>243</v>
      </c>
      <c r="I47" s="192">
        <v>20.0</v>
      </c>
      <c r="J47" s="177"/>
      <c r="K47" s="181" t="b">
        <v>0</v>
      </c>
      <c r="L47" s="171" t="b">
        <v>0</v>
      </c>
      <c r="M47" s="159" t="str">
        <f t="shared" si="1"/>
        <v>CH01-03. Claude Code로 자동 인사이트 &amp; 코멘터리 생성</v>
      </c>
      <c r="N47" s="146"/>
      <c r="O47" s="160"/>
      <c r="P47" s="161"/>
      <c r="Q47" s="162"/>
      <c r="R47" s="163"/>
      <c r="S47" s="164"/>
      <c r="T47" s="160"/>
      <c r="U47" s="165"/>
    </row>
    <row r="48">
      <c r="A48" s="111"/>
      <c r="B48" s="189" t="b">
        <v>0</v>
      </c>
      <c r="C48" s="190" t="s">
        <v>79</v>
      </c>
      <c r="D48" s="191" t="s">
        <v>239</v>
      </c>
      <c r="E48" s="175" t="s">
        <v>179</v>
      </c>
      <c r="F48" s="191" t="s">
        <v>240</v>
      </c>
      <c r="G48" s="190" t="s">
        <v>191</v>
      </c>
      <c r="H48" s="191" t="s">
        <v>244</v>
      </c>
      <c r="I48" s="192">
        <v>10.0</v>
      </c>
      <c r="J48" s="177"/>
      <c r="K48" s="181" t="b">
        <v>0</v>
      </c>
      <c r="L48" s="171" t="b">
        <v>0</v>
      </c>
      <c r="M48" s="159" t="str">
        <f t="shared" si="1"/>
        <v>CH01-04. 완성 대시보드 리뷰 &amp; 개선 포인트</v>
      </c>
      <c r="N48" s="146"/>
      <c r="O48" s="160"/>
      <c r="P48" s="161"/>
      <c r="Q48" s="162"/>
      <c r="R48" s="163"/>
      <c r="S48" s="164"/>
      <c r="T48" s="160"/>
      <c r="U48" s="165"/>
    </row>
    <row r="49">
      <c r="A49" s="111"/>
      <c r="B49" s="189" t="b">
        <v>0</v>
      </c>
      <c r="C49" s="190" t="s">
        <v>79</v>
      </c>
      <c r="D49" s="191" t="s">
        <v>239</v>
      </c>
      <c r="E49" s="194" t="s">
        <v>195</v>
      </c>
      <c r="F49" s="195" t="s">
        <v>245</v>
      </c>
      <c r="G49" s="196" t="s">
        <v>181</v>
      </c>
      <c r="H49" s="197" t="s">
        <v>246</v>
      </c>
      <c r="I49" s="192">
        <v>20.0</v>
      </c>
      <c r="J49" s="177"/>
      <c r="K49" s="181" t="b">
        <v>0</v>
      </c>
      <c r="L49" s="171" t="b">
        <v>0</v>
      </c>
      <c r="M49" s="159" t="str">
        <f t="shared" si="1"/>
        <v>CH02-01. A/B 테스트 시각화</v>
      </c>
      <c r="N49" s="146"/>
      <c r="O49" s="160"/>
      <c r="P49" s="161"/>
      <c r="Q49" s="162"/>
      <c r="R49" s="163"/>
      <c r="S49" s="164"/>
      <c r="T49" s="160"/>
      <c r="U49" s="165"/>
    </row>
    <row r="50">
      <c r="A50" s="111"/>
      <c r="B50" s="189" t="b">
        <v>0</v>
      </c>
      <c r="C50" s="190" t="s">
        <v>79</v>
      </c>
      <c r="D50" s="191" t="s">
        <v>239</v>
      </c>
      <c r="E50" s="194" t="s">
        <v>195</v>
      </c>
      <c r="F50" s="197" t="s">
        <v>245</v>
      </c>
      <c r="G50" s="196" t="s">
        <v>183</v>
      </c>
      <c r="H50" s="198" t="s">
        <v>247</v>
      </c>
      <c r="I50" s="192">
        <v>15.0</v>
      </c>
      <c r="J50" s="177"/>
      <c r="K50" s="181" t="b">
        <v>0</v>
      </c>
      <c r="L50" s="171" t="b">
        <v>0</v>
      </c>
      <c r="M50" s="159" t="str">
        <f t="shared" si="1"/>
        <v>CH02-02. 드릴다운 필터 &amp; 자동화 분석</v>
      </c>
      <c r="N50" s="146"/>
      <c r="O50" s="160"/>
      <c r="P50" s="161"/>
      <c r="Q50" s="162"/>
      <c r="R50" s="163"/>
      <c r="S50" s="164"/>
      <c r="T50" s="160"/>
      <c r="U50" s="165"/>
    </row>
    <row r="51">
      <c r="A51" s="111"/>
      <c r="B51" s="189" t="b">
        <v>0</v>
      </c>
      <c r="C51" s="190" t="s">
        <v>79</v>
      </c>
      <c r="D51" s="191" t="s">
        <v>239</v>
      </c>
      <c r="E51" s="194" t="s">
        <v>195</v>
      </c>
      <c r="F51" s="197" t="s">
        <v>245</v>
      </c>
      <c r="G51" s="196" t="s">
        <v>189</v>
      </c>
      <c r="H51" s="198" t="s">
        <v>248</v>
      </c>
      <c r="I51" s="192">
        <v>10.0</v>
      </c>
      <c r="J51" s="177"/>
      <c r="K51" s="181" t="b">
        <v>0</v>
      </c>
      <c r="L51" s="171" t="b">
        <v>0</v>
      </c>
      <c r="M51" s="159" t="str">
        <f t="shared" si="1"/>
        <v>CH02-03. 완성 대시보드 리뷰</v>
      </c>
      <c r="N51" s="146"/>
      <c r="O51" s="160"/>
      <c r="P51" s="161"/>
      <c r="Q51" s="162"/>
      <c r="R51" s="163"/>
      <c r="S51" s="164"/>
      <c r="T51" s="160"/>
      <c r="U51" s="165"/>
    </row>
    <row r="52">
      <c r="A52" s="111"/>
      <c r="B52" s="189" t="b">
        <v>0</v>
      </c>
      <c r="C52" s="190" t="s">
        <v>79</v>
      </c>
      <c r="D52" s="191" t="s">
        <v>239</v>
      </c>
      <c r="E52" s="194" t="s">
        <v>200</v>
      </c>
      <c r="F52" s="193" t="s">
        <v>249</v>
      </c>
      <c r="G52" s="190" t="s">
        <v>181</v>
      </c>
      <c r="H52" s="191" t="s">
        <v>250</v>
      </c>
      <c r="I52" s="192">
        <v>20.0</v>
      </c>
      <c r="J52" s="177"/>
      <c r="K52" s="181" t="b">
        <v>0</v>
      </c>
      <c r="L52" s="171" t="b">
        <v>0</v>
      </c>
      <c r="M52" s="159" t="str">
        <f t="shared" si="1"/>
        <v>CH03-01. OKR-KPI 연결 구조 시각화</v>
      </c>
      <c r="N52" s="146"/>
      <c r="O52" s="160"/>
      <c r="P52" s="161"/>
      <c r="Q52" s="162"/>
      <c r="R52" s="163"/>
      <c r="S52" s="164"/>
      <c r="T52" s="160"/>
      <c r="U52" s="165"/>
    </row>
    <row r="53">
      <c r="A53" s="111"/>
      <c r="B53" s="189" t="b">
        <v>0</v>
      </c>
      <c r="C53" s="190" t="s">
        <v>79</v>
      </c>
      <c r="D53" s="191" t="s">
        <v>239</v>
      </c>
      <c r="E53" s="194" t="s">
        <v>200</v>
      </c>
      <c r="F53" s="191" t="s">
        <v>249</v>
      </c>
      <c r="G53" s="190" t="s">
        <v>183</v>
      </c>
      <c r="H53" s="191" t="s">
        <v>251</v>
      </c>
      <c r="I53" s="192">
        <v>20.0</v>
      </c>
      <c r="J53" s="177"/>
      <c r="K53" s="181" t="b">
        <v>0</v>
      </c>
      <c r="L53" s="171" t="b">
        <v>0</v>
      </c>
      <c r="M53" s="159" t="str">
        <f t="shared" si="1"/>
        <v>CH03-02. 경영진 보고용 One-page 대시보드</v>
      </c>
      <c r="N53" s="146"/>
      <c r="O53" s="160"/>
      <c r="P53" s="161"/>
      <c r="Q53" s="162"/>
      <c r="R53" s="163"/>
      <c r="S53" s="164"/>
      <c r="T53" s="160"/>
      <c r="U53" s="165"/>
    </row>
    <row r="54">
      <c r="A54" s="111"/>
      <c r="B54" s="189" t="b">
        <v>0</v>
      </c>
      <c r="C54" s="190" t="s">
        <v>79</v>
      </c>
      <c r="D54" s="191" t="s">
        <v>239</v>
      </c>
      <c r="E54" s="194" t="s">
        <v>200</v>
      </c>
      <c r="F54" s="191" t="s">
        <v>249</v>
      </c>
      <c r="G54" s="190" t="s">
        <v>189</v>
      </c>
      <c r="H54" s="191" t="s">
        <v>248</v>
      </c>
      <c r="I54" s="192">
        <v>10.0</v>
      </c>
      <c r="J54" s="177"/>
      <c r="K54" s="181" t="b">
        <v>0</v>
      </c>
      <c r="L54" s="171" t="b">
        <v>0</v>
      </c>
      <c r="M54" s="159" t="str">
        <f t="shared" si="1"/>
        <v>CH03-03. 완성 대시보드 리뷰</v>
      </c>
      <c r="N54" s="146"/>
      <c r="O54" s="160"/>
      <c r="P54" s="161"/>
      <c r="Q54" s="162"/>
      <c r="R54" s="163"/>
      <c r="S54" s="164"/>
      <c r="T54" s="160"/>
      <c r="U54" s="165"/>
    </row>
    <row r="55">
      <c r="A55" s="111"/>
      <c r="B55" s="189" t="b">
        <v>0</v>
      </c>
      <c r="C55" s="190" t="s">
        <v>79</v>
      </c>
      <c r="D55" s="191" t="s">
        <v>239</v>
      </c>
      <c r="E55" s="194" t="s">
        <v>252</v>
      </c>
      <c r="F55" s="193" t="s">
        <v>253</v>
      </c>
      <c r="G55" s="190" t="s">
        <v>181</v>
      </c>
      <c r="H55" s="191" t="s">
        <v>254</v>
      </c>
      <c r="I55" s="192">
        <v>20.0</v>
      </c>
      <c r="J55" s="177"/>
      <c r="K55" s="181" t="b">
        <v>0</v>
      </c>
      <c r="L55" s="171" t="b">
        <v>0</v>
      </c>
      <c r="M55" s="159" t="str">
        <f t="shared" si="1"/>
        <v>CH04-01. 코호트 분석 시각화</v>
      </c>
      <c r="N55" s="146"/>
      <c r="O55" s="160"/>
      <c r="P55" s="161"/>
      <c r="Q55" s="162"/>
      <c r="R55" s="163"/>
      <c r="S55" s="164"/>
      <c r="T55" s="160"/>
      <c r="U55" s="165"/>
    </row>
    <row r="56">
      <c r="A56" s="111"/>
      <c r="B56" s="189" t="b">
        <v>0</v>
      </c>
      <c r="C56" s="190" t="s">
        <v>79</v>
      </c>
      <c r="D56" s="191" t="s">
        <v>239</v>
      </c>
      <c r="E56" s="194" t="s">
        <v>252</v>
      </c>
      <c r="F56" s="191" t="s">
        <v>253</v>
      </c>
      <c r="G56" s="190" t="s">
        <v>183</v>
      </c>
      <c r="H56" s="191" t="s">
        <v>255</v>
      </c>
      <c r="I56" s="192">
        <v>20.0</v>
      </c>
      <c r="J56" s="177"/>
      <c r="K56" s="181" t="b">
        <v>0</v>
      </c>
      <c r="L56" s="171" t="b">
        <v>0</v>
      </c>
      <c r="M56" s="159" t="str">
        <f t="shared" si="1"/>
        <v>CH04-02. 매출 예측 &amp; 변동 고급 분석 시각화</v>
      </c>
      <c r="N56" s="146"/>
      <c r="O56" s="160"/>
      <c r="P56" s="161"/>
      <c r="Q56" s="162"/>
      <c r="R56" s="163"/>
      <c r="S56" s="164"/>
      <c r="T56" s="160"/>
      <c r="U56" s="165"/>
    </row>
    <row r="57">
      <c r="A57" s="111"/>
      <c r="B57" s="189" t="b">
        <v>0</v>
      </c>
      <c r="C57" s="190" t="s">
        <v>79</v>
      </c>
      <c r="D57" s="191" t="s">
        <v>239</v>
      </c>
      <c r="E57" s="194" t="s">
        <v>252</v>
      </c>
      <c r="F57" s="191" t="s">
        <v>253</v>
      </c>
      <c r="G57" s="190" t="s">
        <v>189</v>
      </c>
      <c r="H57" s="191" t="s">
        <v>248</v>
      </c>
      <c r="I57" s="192">
        <v>10.0</v>
      </c>
      <c r="J57" s="177"/>
      <c r="K57" s="181" t="b">
        <v>0</v>
      </c>
      <c r="L57" s="171" t="b">
        <v>0</v>
      </c>
      <c r="M57" s="159" t="str">
        <f t="shared" si="1"/>
        <v>CH04-03. 완성 대시보드 리뷰</v>
      </c>
      <c r="N57" s="146"/>
      <c r="O57" s="160"/>
      <c r="P57" s="161"/>
      <c r="Q57" s="162"/>
      <c r="R57" s="163"/>
      <c r="S57" s="164"/>
      <c r="T57" s="160"/>
      <c r="U57" s="165"/>
    </row>
    <row r="58">
      <c r="A58" s="111"/>
      <c r="B58" s="189" t="b">
        <v>0</v>
      </c>
      <c r="C58" s="190" t="s">
        <v>79</v>
      </c>
      <c r="D58" s="191" t="s">
        <v>239</v>
      </c>
      <c r="E58" s="194" t="s">
        <v>256</v>
      </c>
      <c r="F58" s="195" t="s">
        <v>257</v>
      </c>
      <c r="G58" s="196" t="s">
        <v>181</v>
      </c>
      <c r="H58" s="197" t="s">
        <v>258</v>
      </c>
      <c r="I58" s="192">
        <v>20.0</v>
      </c>
      <c r="J58" s="177"/>
      <c r="K58" s="181" t="b">
        <v>0</v>
      </c>
      <c r="L58" s="171" t="b">
        <v>0</v>
      </c>
      <c r="M58" s="159" t="str">
        <f t="shared" si="1"/>
        <v>CH05-01. 채용 퍼널 분석 시각화</v>
      </c>
      <c r="N58" s="146"/>
      <c r="O58" s="160"/>
      <c r="P58" s="161"/>
      <c r="Q58" s="162"/>
      <c r="R58" s="163"/>
      <c r="S58" s="164"/>
      <c r="T58" s="160"/>
      <c r="U58" s="165"/>
    </row>
    <row r="59">
      <c r="A59" s="111"/>
      <c r="B59" s="189" t="b">
        <v>0</v>
      </c>
      <c r="C59" s="190" t="s">
        <v>79</v>
      </c>
      <c r="D59" s="191" t="s">
        <v>239</v>
      </c>
      <c r="E59" s="194" t="s">
        <v>256</v>
      </c>
      <c r="F59" s="197" t="s">
        <v>257</v>
      </c>
      <c r="G59" s="196" t="s">
        <v>183</v>
      </c>
      <c r="H59" s="197" t="s">
        <v>259</v>
      </c>
      <c r="I59" s="192">
        <v>20.0</v>
      </c>
      <c r="J59" s="177"/>
      <c r="K59" s="181" t="b">
        <v>0</v>
      </c>
      <c r="L59" s="171" t="b">
        <v>0</v>
      </c>
      <c r="M59" s="159" t="str">
        <f t="shared" si="1"/>
        <v>CH05-02. 채용 현황 &amp; 변동 분석</v>
      </c>
      <c r="N59" s="146"/>
      <c r="O59" s="160"/>
      <c r="P59" s="161"/>
      <c r="Q59" s="162"/>
      <c r="R59" s="163"/>
      <c r="S59" s="164"/>
      <c r="T59" s="160"/>
      <c r="U59" s="165"/>
    </row>
    <row r="60">
      <c r="A60" s="111"/>
      <c r="B60" s="189" t="b">
        <v>0</v>
      </c>
      <c r="C60" s="190" t="s">
        <v>79</v>
      </c>
      <c r="D60" s="191" t="s">
        <v>239</v>
      </c>
      <c r="E60" s="194" t="s">
        <v>256</v>
      </c>
      <c r="F60" s="197" t="s">
        <v>257</v>
      </c>
      <c r="G60" s="196" t="s">
        <v>189</v>
      </c>
      <c r="H60" s="198" t="s">
        <v>248</v>
      </c>
      <c r="I60" s="192">
        <v>10.0</v>
      </c>
      <c r="J60" s="177"/>
      <c r="K60" s="181" t="b">
        <v>0</v>
      </c>
      <c r="L60" s="171" t="b">
        <v>0</v>
      </c>
      <c r="M60" s="159" t="str">
        <f t="shared" si="1"/>
        <v>CH05-03. 완성 대시보드 리뷰</v>
      </c>
      <c r="N60" s="146"/>
      <c r="O60" s="160"/>
      <c r="P60" s="161"/>
      <c r="Q60" s="162"/>
      <c r="R60" s="163"/>
      <c r="S60" s="164"/>
      <c r="T60" s="160"/>
      <c r="U60" s="165"/>
    </row>
    <row r="61">
      <c r="A61" s="111"/>
      <c r="B61" s="189" t="b">
        <v>0</v>
      </c>
      <c r="C61" s="190" t="s">
        <v>95</v>
      </c>
      <c r="D61" s="191" t="s">
        <v>260</v>
      </c>
      <c r="E61" s="194" t="s">
        <v>179</v>
      </c>
      <c r="F61" s="191" t="s">
        <v>261</v>
      </c>
      <c r="G61" s="190" t="s">
        <v>181</v>
      </c>
      <c r="H61" s="191" t="s">
        <v>262</v>
      </c>
      <c r="I61" s="192">
        <v>15.0</v>
      </c>
      <c r="J61" s="177"/>
      <c r="K61" s="181" t="b">
        <v>0</v>
      </c>
      <c r="L61" s="171" t="b">
        <v>0</v>
      </c>
      <c r="M61" s="159" t="str">
        <f t="shared" si="1"/>
        <v>CH01-01. 업무자동화란? — AI 에이전트로 반복 업무 제거하기</v>
      </c>
      <c r="N61" s="146"/>
      <c r="O61" s="160"/>
      <c r="P61" s="161"/>
      <c r="Q61" s="162"/>
      <c r="R61" s="163"/>
      <c r="S61" s="164"/>
      <c r="T61" s="160"/>
      <c r="U61" s="165"/>
    </row>
    <row r="62">
      <c r="A62" s="111"/>
      <c r="B62" s="189" t="b">
        <v>0</v>
      </c>
      <c r="C62" s="190" t="s">
        <v>95</v>
      </c>
      <c r="D62" s="191" t="s">
        <v>260</v>
      </c>
      <c r="E62" s="194" t="s">
        <v>179</v>
      </c>
      <c r="F62" s="191" t="s">
        <v>261</v>
      </c>
      <c r="G62" s="190" t="s">
        <v>183</v>
      </c>
      <c r="H62" s="191" t="s">
        <v>263</v>
      </c>
      <c r="I62" s="192">
        <v>20.0</v>
      </c>
      <c r="J62" s="177"/>
      <c r="K62" s="181" t="b">
        <v>0</v>
      </c>
      <c r="L62" s="171" t="b">
        <v>0</v>
      </c>
      <c r="M62" s="159" t="str">
        <f t="shared" si="1"/>
        <v>CH01-02. Claude Code로 엑셀/CSV 자동 가공하기</v>
      </c>
      <c r="N62" s="146"/>
      <c r="O62" s="160"/>
      <c r="P62" s="161"/>
      <c r="Q62" s="162"/>
      <c r="R62" s="163"/>
      <c r="S62" s="164"/>
      <c r="T62" s="160"/>
      <c r="U62" s="165"/>
    </row>
    <row r="63">
      <c r="A63" s="111"/>
      <c r="B63" s="189" t="b">
        <v>0</v>
      </c>
      <c r="C63" s="190" t="s">
        <v>95</v>
      </c>
      <c r="D63" s="191" t="s">
        <v>260</v>
      </c>
      <c r="E63" s="194" t="s">
        <v>179</v>
      </c>
      <c r="F63" s="191" t="s">
        <v>261</v>
      </c>
      <c r="G63" s="190" t="s">
        <v>189</v>
      </c>
      <c r="H63" s="191" t="s">
        <v>264</v>
      </c>
      <c r="I63" s="192">
        <v>15.0</v>
      </c>
      <c r="J63" s="177"/>
      <c r="K63" s="181" t="b">
        <v>0</v>
      </c>
      <c r="L63" s="171" t="b">
        <v>0</v>
      </c>
      <c r="M63" s="159" t="str">
        <f t="shared" si="1"/>
        <v>CH01-03. 정기 리포트 자동 생성 파이프라인</v>
      </c>
      <c r="N63" s="146"/>
      <c r="O63" s="160"/>
      <c r="P63" s="161"/>
      <c r="Q63" s="162"/>
      <c r="R63" s="163"/>
      <c r="S63" s="164"/>
      <c r="T63" s="160"/>
      <c r="U63" s="165"/>
    </row>
    <row r="64">
      <c r="A64" s="111"/>
      <c r="B64" s="189" t="b">
        <v>0</v>
      </c>
      <c r="C64" s="190" t="s">
        <v>95</v>
      </c>
      <c r="D64" s="191" t="s">
        <v>260</v>
      </c>
      <c r="E64" s="194" t="s">
        <v>179</v>
      </c>
      <c r="F64" s="191" t="s">
        <v>261</v>
      </c>
      <c r="G64" s="190" t="s">
        <v>191</v>
      </c>
      <c r="H64" s="191" t="s">
        <v>265</v>
      </c>
      <c r="I64" s="192">
        <v>15.0</v>
      </c>
      <c r="J64" s="177"/>
      <c r="K64" s="181" t="b">
        <v>0</v>
      </c>
      <c r="L64" s="171" t="b">
        <v>0</v>
      </c>
      <c r="M64" s="159" t="str">
        <f t="shared" si="1"/>
        <v>CH01-04. Headless 모드 &amp; GitHub Actions로 자동화 배포</v>
      </c>
      <c r="N64" s="146"/>
      <c r="O64" s="160"/>
      <c r="P64" s="161"/>
      <c r="Q64" s="162"/>
      <c r="R64" s="163"/>
      <c r="S64" s="164"/>
      <c r="T64" s="160"/>
      <c r="U64" s="165"/>
    </row>
    <row r="65">
      <c r="A65" s="111"/>
      <c r="B65" s="189" t="b">
        <v>0</v>
      </c>
      <c r="C65" s="190" t="s">
        <v>95</v>
      </c>
      <c r="D65" s="191" t="s">
        <v>260</v>
      </c>
      <c r="E65" s="194" t="s">
        <v>195</v>
      </c>
      <c r="F65" s="195" t="s">
        <v>266</v>
      </c>
      <c r="G65" s="190" t="s">
        <v>181</v>
      </c>
      <c r="H65" s="191" t="s">
        <v>267</v>
      </c>
      <c r="I65" s="192">
        <v>20.0</v>
      </c>
      <c r="J65" s="177"/>
      <c r="K65" s="181" t="b">
        <v>0</v>
      </c>
      <c r="L65" s="171" t="b">
        <v>0</v>
      </c>
      <c r="M65" s="159" t="str">
        <f t="shared" si="1"/>
        <v>CH02-01. 에이전트 팀으로 복잡한 업무 처리하기 실전</v>
      </c>
      <c r="N65" s="146"/>
      <c r="O65" s="160"/>
      <c r="P65" s="161"/>
      <c r="Q65" s="162"/>
      <c r="R65" s="163"/>
      <c r="S65" s="164"/>
      <c r="T65" s="160"/>
      <c r="U65" s="165"/>
    </row>
    <row r="66">
      <c r="A66" s="111"/>
      <c r="B66" s="189" t="b">
        <v>0</v>
      </c>
      <c r="C66" s="190" t="s">
        <v>95</v>
      </c>
      <c r="D66" s="191" t="s">
        <v>260</v>
      </c>
      <c r="E66" s="194" t="s">
        <v>195</v>
      </c>
      <c r="F66" s="197" t="s">
        <v>266</v>
      </c>
      <c r="G66" s="190" t="s">
        <v>183</v>
      </c>
      <c r="H66" s="191" t="s">
        <v>268</v>
      </c>
      <c r="I66" s="192">
        <v>20.0</v>
      </c>
      <c r="J66" s="177"/>
      <c r="K66" s="181" t="b">
        <v>0</v>
      </c>
      <c r="L66" s="171" t="b">
        <v>0</v>
      </c>
      <c r="M66" s="159" t="str">
        <f t="shared" si="1"/>
        <v>CH02-02. 주간 리포트 봇 만들기 — 수집·분석·발송 자동화</v>
      </c>
      <c r="N66" s="146"/>
      <c r="O66" s="160"/>
      <c r="P66" s="161"/>
      <c r="Q66" s="162"/>
      <c r="R66" s="163"/>
      <c r="S66" s="164"/>
      <c r="T66" s="160"/>
      <c r="U66" s="165"/>
    </row>
    <row r="67">
      <c r="A67" s="111"/>
      <c r="B67" s="189" t="b">
        <v>0</v>
      </c>
      <c r="C67" s="190" t="s">
        <v>95</v>
      </c>
      <c r="D67" s="191" t="s">
        <v>260</v>
      </c>
      <c r="E67" s="194" t="s">
        <v>195</v>
      </c>
      <c r="F67" s="197" t="s">
        <v>266</v>
      </c>
      <c r="G67" s="190" t="s">
        <v>189</v>
      </c>
      <c r="H67" s="191" t="s">
        <v>269</v>
      </c>
      <c r="I67" s="192">
        <v>10.0</v>
      </c>
      <c r="J67" s="177"/>
      <c r="K67" s="181" t="b">
        <v>0</v>
      </c>
      <c r="L67" s="171" t="b">
        <v>0</v>
      </c>
      <c r="M67" s="159" t="str">
        <f t="shared" si="1"/>
        <v>CH02-03. 자동화 서비스 배포 &amp; 운영</v>
      </c>
      <c r="N67" s="146"/>
      <c r="O67" s="160"/>
      <c r="P67" s="161"/>
      <c r="Q67" s="162"/>
      <c r="R67" s="163"/>
      <c r="S67" s="164"/>
      <c r="T67" s="160"/>
      <c r="U67" s="165"/>
    </row>
  </sheetData>
  <mergeCells count="73"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65:N65"/>
    <mergeCell ref="M66:N66"/>
    <mergeCell ref="M67:N67"/>
    <mergeCell ref="M58:N58"/>
    <mergeCell ref="M59:N59"/>
    <mergeCell ref="M60:N60"/>
    <mergeCell ref="M61:N61"/>
    <mergeCell ref="M62:N62"/>
    <mergeCell ref="M63:N63"/>
    <mergeCell ref="M64:N64"/>
    <mergeCell ref="B1:F1"/>
    <mergeCell ref="G1:J3"/>
    <mergeCell ref="Q1:S1"/>
    <mergeCell ref="C2:D2"/>
    <mergeCell ref="Q2:S2"/>
    <mergeCell ref="C3:D3"/>
    <mergeCell ref="Q3:S3"/>
    <mergeCell ref="B4:F4"/>
    <mergeCell ref="E5:J5"/>
    <mergeCell ref="M5:N5"/>
    <mergeCell ref="Q5:S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</mergeCells>
  <dataValidations>
    <dataValidation type="decimal" operator="greaterThanOrEqual" allowBlank="1" showDropDown="1" showErrorMessage="1" sqref="I7:M7 P7:U7 I8:J67 P8:Q67 S8:S67 U8:U67">
      <formula1>0.0</formula1>
    </dataValidation>
  </dataValidations>
  <hyperlinks>
    <hyperlink r:id="rId2" ref="N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0"/>
    <col customWidth="1" min="2" max="2" width="10.5"/>
    <col customWidth="1" min="3" max="3" width="9.75"/>
    <col customWidth="1" min="4" max="4" width="39.13"/>
    <col customWidth="1" min="5" max="5" width="9.63"/>
    <col customWidth="1" min="6" max="6" width="41.63"/>
    <col customWidth="1" min="7" max="7" width="9.63"/>
    <col customWidth="1" min="8" max="8" width="10.13"/>
    <col customWidth="1" min="9" max="9" width="12.63"/>
    <col customWidth="1" min="10" max="10" width="13.0"/>
    <col customWidth="1" min="11" max="11" width="59.75"/>
    <col customWidth="1" min="12" max="12" width="2.5"/>
    <col customWidth="1" min="13" max="13" width="11.75"/>
    <col customWidth="1" min="14" max="14" width="9.63"/>
    <col customWidth="1" min="15" max="15" width="46.5"/>
    <col customWidth="1" min="16" max="16" width="13.75"/>
    <col customWidth="1" min="17" max="17" width="3.13"/>
    <col customWidth="1" min="18" max="18" width="13.75"/>
  </cols>
  <sheetData>
    <row r="1" ht="36.0" customHeight="1">
      <c r="A1" s="78"/>
      <c r="B1" s="79" t="s">
        <v>137</v>
      </c>
      <c r="E1" s="199" t="s">
        <v>270</v>
      </c>
      <c r="F1" s="81"/>
      <c r="G1" s="81"/>
      <c r="H1" s="82"/>
      <c r="I1" s="200"/>
      <c r="J1" s="84" t="s">
        <v>139</v>
      </c>
      <c r="K1" s="201" t="s">
        <v>271</v>
      </c>
      <c r="L1" s="86"/>
      <c r="M1" s="87" t="s">
        <v>141</v>
      </c>
      <c r="N1" s="101"/>
      <c r="O1" s="89"/>
      <c r="P1" s="90"/>
      <c r="Q1" s="86"/>
      <c r="R1" s="91"/>
    </row>
    <row r="2" ht="36.0" customHeight="1">
      <c r="A2" s="78"/>
      <c r="B2" s="202" t="s">
        <v>143</v>
      </c>
      <c r="C2" s="203" t="s">
        <v>272</v>
      </c>
      <c r="D2" s="204"/>
      <c r="E2" s="96"/>
      <c r="H2" s="97"/>
      <c r="I2" s="200"/>
      <c r="J2" s="98" t="s">
        <v>146</v>
      </c>
      <c r="K2" s="205" t="s">
        <v>273</v>
      </c>
      <c r="L2" s="86"/>
      <c r="M2" s="100" t="s">
        <v>147</v>
      </c>
      <c r="N2" s="101" t="s">
        <v>274</v>
      </c>
      <c r="O2" s="89"/>
      <c r="P2" s="90"/>
      <c r="Q2" s="86"/>
      <c r="R2" s="91"/>
    </row>
    <row r="3" ht="36.0" customHeight="1">
      <c r="A3" s="78"/>
      <c r="B3" s="202" t="s">
        <v>148</v>
      </c>
      <c r="C3" s="203" t="s">
        <v>275</v>
      </c>
      <c r="D3" s="204"/>
      <c r="E3" s="105"/>
      <c r="F3" s="106"/>
      <c r="G3" s="106"/>
      <c r="H3" s="107"/>
      <c r="I3" s="200"/>
      <c r="J3" s="108" t="s">
        <v>150</v>
      </c>
      <c r="K3" s="109">
        <f>N4</f>
        <v>0</v>
      </c>
      <c r="L3" s="86"/>
      <c r="M3" s="110" t="s">
        <v>151</v>
      </c>
      <c r="N3" s="88"/>
      <c r="O3" s="89"/>
      <c r="P3" s="90"/>
      <c r="Q3" s="86"/>
      <c r="R3" s="111"/>
    </row>
    <row r="4" ht="27.75" customHeight="1">
      <c r="A4" s="78"/>
      <c r="B4" s="86"/>
      <c r="C4" s="86"/>
      <c r="D4" s="86"/>
      <c r="E4" s="112"/>
      <c r="F4" s="86"/>
      <c r="G4" s="112">
        <f>sum(G7:G115)</f>
        <v>1154</v>
      </c>
      <c r="H4" s="206">
        <f>G4/60</f>
        <v>19.23333333</v>
      </c>
      <c r="I4" s="160"/>
      <c r="J4" s="86"/>
      <c r="K4" s="86"/>
      <c r="L4" s="86"/>
      <c r="M4" s="114"/>
      <c r="N4" s="114">
        <f>sum(N7:N115)</f>
        <v>0</v>
      </c>
      <c r="O4" s="115"/>
      <c r="P4" s="111"/>
      <c r="Q4" s="86"/>
      <c r="R4" s="116"/>
    </row>
    <row r="5" ht="27.75" customHeight="1">
      <c r="A5" s="78"/>
      <c r="B5" s="116" t="s">
        <v>153</v>
      </c>
      <c r="C5" s="117"/>
      <c r="I5" s="207"/>
      <c r="J5" s="120" t="s">
        <v>156</v>
      </c>
      <c r="L5" s="86"/>
      <c r="M5" s="121"/>
      <c r="N5" s="122" t="s">
        <v>157</v>
      </c>
      <c r="Q5" s="86"/>
      <c r="R5" s="116" t="s">
        <v>153</v>
      </c>
    </row>
    <row r="6" ht="27.0" customHeight="1">
      <c r="A6" s="123"/>
      <c r="B6" s="124" t="s">
        <v>158</v>
      </c>
      <c r="C6" s="126" t="s">
        <v>161</v>
      </c>
      <c r="D6" s="127" t="s">
        <v>162</v>
      </c>
      <c r="E6" s="208" t="s">
        <v>163</v>
      </c>
      <c r="F6" s="127" t="s">
        <v>164</v>
      </c>
      <c r="G6" s="127" t="s">
        <v>165</v>
      </c>
      <c r="H6" s="130" t="s">
        <v>276</v>
      </c>
      <c r="I6" s="209" t="s">
        <v>167</v>
      </c>
      <c r="J6" s="210" t="s">
        <v>277</v>
      </c>
      <c r="K6" s="107"/>
      <c r="L6" s="86"/>
      <c r="M6" s="211" t="s">
        <v>170</v>
      </c>
      <c r="N6" s="136" t="s">
        <v>171</v>
      </c>
      <c r="O6" s="136" t="s">
        <v>172</v>
      </c>
      <c r="P6" s="136" t="s">
        <v>173</v>
      </c>
      <c r="Q6" s="86"/>
      <c r="R6" s="124" t="s">
        <v>174</v>
      </c>
    </row>
    <row r="7">
      <c r="A7" s="111"/>
      <c r="B7" s="212"/>
      <c r="C7" s="213" t="s">
        <v>278</v>
      </c>
      <c r="D7" s="214" t="s">
        <v>279</v>
      </c>
      <c r="E7" s="215"/>
      <c r="F7" s="216"/>
      <c r="G7" s="217"/>
      <c r="H7" s="218"/>
      <c r="I7" s="219"/>
      <c r="J7" s="220"/>
      <c r="K7" s="221"/>
      <c r="L7" s="86"/>
      <c r="M7" s="222"/>
      <c r="N7" s="223"/>
      <c r="O7" s="224"/>
      <c r="P7" s="212"/>
      <c r="Q7" s="86"/>
      <c r="R7" s="212"/>
    </row>
    <row r="8">
      <c r="A8" s="225"/>
      <c r="B8" s="226" t="b">
        <v>1</v>
      </c>
      <c r="C8" s="227" t="s">
        <v>179</v>
      </c>
      <c r="D8" s="228" t="s">
        <v>280</v>
      </c>
      <c r="E8" s="229" t="s">
        <v>181</v>
      </c>
      <c r="F8" s="230" t="s">
        <v>281</v>
      </c>
      <c r="G8" s="231">
        <v>5.0</v>
      </c>
      <c r="H8" s="232"/>
      <c r="I8" s="233" t="b">
        <v>1</v>
      </c>
      <c r="J8" s="159" t="str">
        <f t="shared" ref="J8:J15" si="1">CONCATENATE(C8,"-",E8, ". ",F8)</f>
        <v>CH01-01. 바이브코딩의 개념</v>
      </c>
      <c r="K8" s="146"/>
      <c r="L8" s="86"/>
      <c r="M8" s="234">
        <v>46049.0</v>
      </c>
      <c r="N8" s="235"/>
      <c r="O8" s="236"/>
      <c r="P8" s="237"/>
      <c r="Q8" s="86"/>
      <c r="R8" s="238">
        <v>46066.0</v>
      </c>
    </row>
    <row r="9">
      <c r="A9" s="225"/>
      <c r="B9" s="226" t="b">
        <v>1</v>
      </c>
      <c r="C9" s="227" t="s">
        <v>179</v>
      </c>
      <c r="D9" s="228" t="s">
        <v>280</v>
      </c>
      <c r="E9" s="229" t="s">
        <v>183</v>
      </c>
      <c r="F9" s="230" t="s">
        <v>282</v>
      </c>
      <c r="G9" s="231">
        <v>6.0</v>
      </c>
      <c r="H9" s="232"/>
      <c r="I9" s="233" t="b">
        <v>1</v>
      </c>
      <c r="J9" s="159" t="str">
        <f t="shared" si="1"/>
        <v>CH01-02. 현재 바이브코딩 흐름</v>
      </c>
      <c r="K9" s="146"/>
      <c r="L9" s="86"/>
      <c r="M9" s="234">
        <v>46049.0</v>
      </c>
      <c r="N9" s="235"/>
      <c r="O9" s="236"/>
      <c r="P9" s="237"/>
      <c r="Q9" s="86"/>
      <c r="R9" s="238">
        <v>46066.0</v>
      </c>
    </row>
    <row r="10">
      <c r="A10" s="225"/>
      <c r="B10" s="226" t="b">
        <v>1</v>
      </c>
      <c r="C10" s="227" t="s">
        <v>179</v>
      </c>
      <c r="D10" s="228" t="s">
        <v>280</v>
      </c>
      <c r="E10" s="229" t="s">
        <v>189</v>
      </c>
      <c r="F10" s="230" t="s">
        <v>283</v>
      </c>
      <c r="G10" s="231">
        <v>6.0</v>
      </c>
      <c r="H10" s="232"/>
      <c r="I10" s="233" t="b">
        <v>1</v>
      </c>
      <c r="J10" s="159" t="str">
        <f t="shared" si="1"/>
        <v>CH01-03. 바이브코딩 필수 마인드</v>
      </c>
      <c r="K10" s="146"/>
      <c r="L10" s="86"/>
      <c r="M10" s="234">
        <v>46049.0</v>
      </c>
      <c r="N10" s="235"/>
      <c r="O10" s="236"/>
      <c r="P10" s="237"/>
      <c r="Q10" s="86"/>
      <c r="R10" s="238">
        <v>46066.0</v>
      </c>
    </row>
    <row r="11">
      <c r="A11" s="225"/>
      <c r="B11" s="226" t="b">
        <v>1</v>
      </c>
      <c r="C11" s="227" t="s">
        <v>179</v>
      </c>
      <c r="D11" s="228" t="s">
        <v>280</v>
      </c>
      <c r="E11" s="239" t="s">
        <v>191</v>
      </c>
      <c r="F11" s="230" t="s">
        <v>284</v>
      </c>
      <c r="G11" s="231">
        <v>8.0</v>
      </c>
      <c r="H11" s="232"/>
      <c r="I11" s="233" t="b">
        <v>1</v>
      </c>
      <c r="J11" s="159" t="str">
        <f t="shared" si="1"/>
        <v>CH01-04. Antigravity와 Claude Code</v>
      </c>
      <c r="K11" s="146"/>
      <c r="L11" s="86"/>
      <c r="M11" s="234">
        <v>46049.0</v>
      </c>
      <c r="N11" s="235"/>
      <c r="O11" s="236"/>
      <c r="P11" s="237"/>
      <c r="Q11" s="86"/>
      <c r="R11" s="238">
        <v>46066.0</v>
      </c>
    </row>
    <row r="12">
      <c r="A12" s="225"/>
      <c r="B12" s="226" t="b">
        <v>1</v>
      </c>
      <c r="C12" s="227" t="s">
        <v>195</v>
      </c>
      <c r="D12" s="228" t="s">
        <v>285</v>
      </c>
      <c r="E12" s="229" t="s">
        <v>181</v>
      </c>
      <c r="F12" s="240" t="s">
        <v>286</v>
      </c>
      <c r="G12" s="231">
        <v>5.0</v>
      </c>
      <c r="H12" s="232"/>
      <c r="I12" s="233" t="b">
        <v>1</v>
      </c>
      <c r="J12" s="159" t="str">
        <f t="shared" si="1"/>
        <v>CH02-01. Frontend와 Backend</v>
      </c>
      <c r="K12" s="146"/>
      <c r="L12" s="86"/>
      <c r="M12" s="234">
        <v>46049.0</v>
      </c>
      <c r="N12" s="235"/>
      <c r="O12" s="236"/>
      <c r="P12" s="237"/>
      <c r="Q12" s="86"/>
      <c r="R12" s="238">
        <v>46066.0</v>
      </c>
    </row>
    <row r="13">
      <c r="A13" s="225"/>
      <c r="B13" s="226" t="b">
        <v>1</v>
      </c>
      <c r="C13" s="227" t="s">
        <v>195</v>
      </c>
      <c r="D13" s="228" t="s">
        <v>285</v>
      </c>
      <c r="E13" s="229" t="s">
        <v>183</v>
      </c>
      <c r="F13" s="230" t="s">
        <v>287</v>
      </c>
      <c r="G13" s="231">
        <v>5.0</v>
      </c>
      <c r="H13" s="232"/>
      <c r="I13" s="233" t="b">
        <v>1</v>
      </c>
      <c r="J13" s="159" t="str">
        <f t="shared" si="1"/>
        <v>CH02-02. API와 MCP</v>
      </c>
      <c r="K13" s="146"/>
      <c r="L13" s="86"/>
      <c r="M13" s="234">
        <v>46049.0</v>
      </c>
      <c r="N13" s="235"/>
      <c r="O13" s="236"/>
      <c r="P13" s="237"/>
      <c r="Q13" s="86"/>
      <c r="R13" s="238">
        <v>46066.0</v>
      </c>
    </row>
    <row r="14">
      <c r="A14" s="225"/>
      <c r="B14" s="226" t="b">
        <v>1</v>
      </c>
      <c r="C14" s="227" t="s">
        <v>195</v>
      </c>
      <c r="D14" s="228" t="s">
        <v>285</v>
      </c>
      <c r="E14" s="229" t="s">
        <v>189</v>
      </c>
      <c r="F14" s="230" t="s">
        <v>288</v>
      </c>
      <c r="G14" s="231">
        <v>6.0</v>
      </c>
      <c r="H14" s="232"/>
      <c r="I14" s="233" t="b">
        <v>1</v>
      </c>
      <c r="J14" s="159" t="str">
        <f t="shared" si="1"/>
        <v>CH02-03. git과 github</v>
      </c>
      <c r="K14" s="146"/>
      <c r="L14" s="86"/>
      <c r="M14" s="234">
        <v>46049.0</v>
      </c>
      <c r="N14" s="235"/>
      <c r="O14" s="236"/>
      <c r="P14" s="237"/>
      <c r="Q14" s="86"/>
      <c r="R14" s="238">
        <v>46066.0</v>
      </c>
    </row>
    <row r="15">
      <c r="A15" s="225"/>
      <c r="B15" s="226" t="b">
        <v>1</v>
      </c>
      <c r="C15" s="227" t="s">
        <v>195</v>
      </c>
      <c r="D15" s="228" t="s">
        <v>285</v>
      </c>
      <c r="E15" s="239" t="s">
        <v>191</v>
      </c>
      <c r="F15" s="230" t="s">
        <v>289</v>
      </c>
      <c r="G15" s="231">
        <v>7.0</v>
      </c>
      <c r="H15" s="232"/>
      <c r="I15" s="233" t="b">
        <v>1</v>
      </c>
      <c r="J15" s="159" t="str">
        <f t="shared" si="1"/>
        <v>CH02-04. 기술 스택 요약</v>
      </c>
      <c r="K15" s="146"/>
      <c r="L15" s="86"/>
      <c r="M15" s="234">
        <v>46049.0</v>
      </c>
      <c r="N15" s="235"/>
      <c r="O15" s="236"/>
      <c r="P15" s="237"/>
      <c r="Q15" s="86"/>
      <c r="R15" s="238">
        <v>46066.0</v>
      </c>
    </row>
    <row r="16">
      <c r="A16" s="241"/>
      <c r="B16" s="212"/>
      <c r="C16" s="213" t="s">
        <v>290</v>
      </c>
      <c r="D16" s="214" t="s">
        <v>291</v>
      </c>
      <c r="E16" s="215"/>
      <c r="F16" s="216"/>
      <c r="G16" s="242"/>
      <c r="H16" s="243"/>
      <c r="I16" s="244"/>
      <c r="J16" s="220"/>
      <c r="K16" s="221"/>
      <c r="L16" s="86"/>
      <c r="M16" s="245"/>
      <c r="N16" s="223"/>
      <c r="O16" s="224"/>
      <c r="P16" s="212"/>
      <c r="Q16" s="86"/>
      <c r="R16" s="212"/>
    </row>
    <row r="17">
      <c r="A17" s="111"/>
      <c r="B17" s="226" t="b">
        <v>1</v>
      </c>
      <c r="C17" s="227" t="s">
        <v>179</v>
      </c>
      <c r="D17" s="228" t="s">
        <v>292</v>
      </c>
      <c r="E17" s="239" t="s">
        <v>181</v>
      </c>
      <c r="F17" s="230" t="s">
        <v>293</v>
      </c>
      <c r="G17" s="231">
        <v>5.0</v>
      </c>
      <c r="H17" s="232"/>
      <c r="I17" s="233" t="b">
        <v>1</v>
      </c>
      <c r="J17" s="159" t="str">
        <f t="shared" ref="J17:J22" si="2">CONCATENATE(C17,"-",E17, ". ",F17)</f>
        <v>CH01-01. Antigravity 인터페이스 이해하기</v>
      </c>
      <c r="K17" s="146"/>
      <c r="L17" s="86"/>
      <c r="M17" s="234">
        <v>46049.0</v>
      </c>
      <c r="N17" s="235"/>
      <c r="O17" s="236"/>
      <c r="P17" s="246"/>
      <c r="Q17" s="86"/>
      <c r="R17" s="238">
        <v>46066.0</v>
      </c>
    </row>
    <row r="18">
      <c r="A18" s="111"/>
      <c r="B18" s="226" t="b">
        <v>1</v>
      </c>
      <c r="C18" s="227" t="s">
        <v>179</v>
      </c>
      <c r="D18" s="228" t="s">
        <v>292</v>
      </c>
      <c r="E18" s="239" t="s">
        <v>183</v>
      </c>
      <c r="F18" s="230" t="s">
        <v>294</v>
      </c>
      <c r="G18" s="231">
        <v>5.0</v>
      </c>
      <c r="H18" s="232"/>
      <c r="I18" s="233" t="b">
        <v>1</v>
      </c>
      <c r="J18" s="159" t="str">
        <f t="shared" si="2"/>
        <v>CH01-02. 에이전트 매니저 이해하기</v>
      </c>
      <c r="K18" s="146"/>
      <c r="L18" s="86"/>
      <c r="M18" s="234">
        <v>46049.0</v>
      </c>
      <c r="N18" s="235"/>
      <c r="O18" s="236"/>
      <c r="P18" s="246"/>
      <c r="Q18" s="86"/>
      <c r="R18" s="238">
        <v>46066.0</v>
      </c>
    </row>
    <row r="19">
      <c r="A19" s="111"/>
      <c r="B19" s="226" t="b">
        <v>1</v>
      </c>
      <c r="C19" s="227" t="s">
        <v>179</v>
      </c>
      <c r="D19" s="228" t="s">
        <v>292</v>
      </c>
      <c r="E19" s="229" t="s">
        <v>189</v>
      </c>
      <c r="F19" s="230" t="s">
        <v>295</v>
      </c>
      <c r="G19" s="231">
        <v>5.0</v>
      </c>
      <c r="H19" s="232"/>
      <c r="I19" s="247" t="b">
        <v>1</v>
      </c>
      <c r="J19" s="159" t="str">
        <f t="shared" si="2"/>
        <v>CH01-03. 커스텀 룰 세팅하기</v>
      </c>
      <c r="K19" s="146"/>
      <c r="L19" s="86"/>
      <c r="M19" s="234">
        <v>46049.0</v>
      </c>
      <c r="N19" s="235"/>
      <c r="O19" s="236" t="s">
        <v>296</v>
      </c>
      <c r="P19" s="248"/>
      <c r="Q19" s="86"/>
      <c r="R19" s="238">
        <v>46066.0</v>
      </c>
    </row>
    <row r="20">
      <c r="A20" s="111"/>
      <c r="B20" s="226" t="b">
        <v>1</v>
      </c>
      <c r="C20" s="227" t="s">
        <v>195</v>
      </c>
      <c r="D20" s="228" t="s">
        <v>297</v>
      </c>
      <c r="E20" s="229" t="s">
        <v>181</v>
      </c>
      <c r="F20" s="230" t="s">
        <v>298</v>
      </c>
      <c r="G20" s="231">
        <v>5.0</v>
      </c>
      <c r="H20" s="232"/>
      <c r="I20" s="247" t="b">
        <v>1</v>
      </c>
      <c r="J20" s="159" t="str">
        <f t="shared" si="2"/>
        <v>CH02-01. Claude code 설치 및 세팅</v>
      </c>
      <c r="K20" s="146"/>
      <c r="L20" s="86"/>
      <c r="M20" s="234">
        <v>46049.0</v>
      </c>
      <c r="N20" s="235"/>
      <c r="O20" s="236"/>
      <c r="P20" s="246"/>
      <c r="Q20" s="86"/>
      <c r="R20" s="238">
        <v>46066.0</v>
      </c>
    </row>
    <row r="21">
      <c r="A21" s="111"/>
      <c r="B21" s="226" t="b">
        <v>1</v>
      </c>
      <c r="C21" s="227" t="s">
        <v>195</v>
      </c>
      <c r="D21" s="228" t="s">
        <v>297</v>
      </c>
      <c r="E21" s="229" t="s">
        <v>183</v>
      </c>
      <c r="F21" s="230" t="s">
        <v>299</v>
      </c>
      <c r="G21" s="231">
        <v>5.0</v>
      </c>
      <c r="H21" s="232"/>
      <c r="I21" s="247" t="b">
        <v>1</v>
      </c>
      <c r="J21" s="159" t="str">
        <f t="shared" si="2"/>
        <v>CH02-02. Antigravity와 함께 사용할 때 중요한 점</v>
      </c>
      <c r="K21" s="146"/>
      <c r="L21" s="86"/>
      <c r="M21" s="234">
        <v>46050.0</v>
      </c>
      <c r="N21" s="235"/>
      <c r="O21" s="236"/>
      <c r="P21" s="246"/>
      <c r="Q21" s="86"/>
      <c r="R21" s="238">
        <v>46066.0</v>
      </c>
    </row>
    <row r="22">
      <c r="A22" s="111"/>
      <c r="B22" s="226" t="b">
        <v>1</v>
      </c>
      <c r="C22" s="227" t="s">
        <v>195</v>
      </c>
      <c r="D22" s="228" t="s">
        <v>297</v>
      </c>
      <c r="E22" s="229" t="s">
        <v>189</v>
      </c>
      <c r="F22" s="230" t="s">
        <v>300</v>
      </c>
      <c r="G22" s="231">
        <v>15.0</v>
      </c>
      <c r="H22" s="232"/>
      <c r="I22" s="247" t="b">
        <v>1</v>
      </c>
      <c r="J22" s="159" t="str">
        <f t="shared" si="2"/>
        <v>CH02-03. Antigravity&amp;Claude code Skill 사용법</v>
      </c>
      <c r="K22" s="146"/>
      <c r="L22" s="86"/>
      <c r="M22" s="234">
        <v>46050.0</v>
      </c>
      <c r="N22" s="249"/>
      <c r="O22" s="236"/>
      <c r="P22" s="250"/>
      <c r="Q22" s="86"/>
      <c r="R22" s="238">
        <v>46066.0</v>
      </c>
    </row>
    <row r="23">
      <c r="A23" s="241"/>
      <c r="B23" s="212"/>
      <c r="C23" s="213" t="s">
        <v>301</v>
      </c>
      <c r="D23" s="214" t="s">
        <v>302</v>
      </c>
      <c r="E23" s="215"/>
      <c r="F23" s="251"/>
      <c r="G23" s="242"/>
      <c r="H23" s="252"/>
      <c r="I23" s="212"/>
      <c r="J23" s="220"/>
      <c r="K23" s="221"/>
      <c r="L23" s="86"/>
      <c r="M23" s="253"/>
      <c r="N23" s="223"/>
      <c r="O23" s="224"/>
      <c r="P23" s="212"/>
      <c r="Q23" s="86"/>
      <c r="R23" s="212"/>
    </row>
    <row r="24">
      <c r="A24" s="111"/>
      <c r="B24" s="226" t="b">
        <v>1</v>
      </c>
      <c r="C24" s="227" t="s">
        <v>179</v>
      </c>
      <c r="D24" s="228" t="s">
        <v>303</v>
      </c>
      <c r="E24" s="239" t="s">
        <v>181</v>
      </c>
      <c r="F24" s="230" t="s">
        <v>304</v>
      </c>
      <c r="G24" s="231">
        <v>10.0</v>
      </c>
      <c r="H24" s="254"/>
      <c r="I24" s="233" t="b">
        <v>1</v>
      </c>
      <c r="J24" s="159" t="str">
        <f t="shared" ref="J24:J27" si="3">CONCATENATE(C24,"-",E24, ". ",F24)</f>
        <v>CH01-01. 바이브코딩에서 기획이란</v>
      </c>
      <c r="K24" s="146"/>
      <c r="L24" s="86"/>
      <c r="M24" s="234">
        <v>46050.0</v>
      </c>
      <c r="N24" s="235"/>
      <c r="O24" s="236"/>
      <c r="P24" s="248"/>
      <c r="Q24" s="86"/>
      <c r="R24" s="238">
        <v>46066.0</v>
      </c>
    </row>
    <row r="25">
      <c r="A25" s="111"/>
      <c r="B25" s="226" t="b">
        <v>1</v>
      </c>
      <c r="C25" s="227" t="s">
        <v>179</v>
      </c>
      <c r="D25" s="228" t="s">
        <v>303</v>
      </c>
      <c r="E25" s="239" t="s">
        <v>183</v>
      </c>
      <c r="F25" s="230" t="s">
        <v>305</v>
      </c>
      <c r="G25" s="231">
        <v>10.0</v>
      </c>
      <c r="H25" s="254"/>
      <c r="I25" s="233" t="b">
        <v>1</v>
      </c>
      <c r="J25" s="159" t="str">
        <f t="shared" si="3"/>
        <v>CH01-02. 기획서의 기본</v>
      </c>
      <c r="K25" s="146"/>
      <c r="L25" s="86"/>
      <c r="M25" s="234">
        <v>46050.0</v>
      </c>
      <c r="N25" s="235"/>
      <c r="O25" s="236"/>
      <c r="P25" s="248"/>
      <c r="Q25" s="86"/>
      <c r="R25" s="238">
        <v>46066.0</v>
      </c>
    </row>
    <row r="26">
      <c r="A26" s="225"/>
      <c r="B26" s="226" t="b">
        <v>1</v>
      </c>
      <c r="C26" s="227" t="s">
        <v>179</v>
      </c>
      <c r="D26" s="228" t="s">
        <v>303</v>
      </c>
      <c r="E26" s="239" t="s">
        <v>189</v>
      </c>
      <c r="F26" s="230" t="s">
        <v>306</v>
      </c>
      <c r="G26" s="231">
        <v>15.0</v>
      </c>
      <c r="H26" s="254"/>
      <c r="I26" s="233" t="b">
        <v>1</v>
      </c>
      <c r="J26" s="159" t="str">
        <f t="shared" si="3"/>
        <v>CH01-03. Gemini로 아이디어 발굴하기</v>
      </c>
      <c r="K26" s="146"/>
      <c r="L26" s="86"/>
      <c r="M26" s="234">
        <v>46050.0</v>
      </c>
      <c r="N26" s="235"/>
      <c r="O26" s="236"/>
      <c r="P26" s="248"/>
      <c r="Q26" s="86"/>
      <c r="R26" s="238">
        <v>46066.0</v>
      </c>
    </row>
    <row r="27">
      <c r="A27" s="225"/>
      <c r="B27" s="226" t="b">
        <v>1</v>
      </c>
      <c r="C27" s="227" t="s">
        <v>179</v>
      </c>
      <c r="D27" s="228" t="s">
        <v>303</v>
      </c>
      <c r="E27" s="239" t="s">
        <v>191</v>
      </c>
      <c r="F27" s="230" t="s">
        <v>307</v>
      </c>
      <c r="G27" s="231">
        <v>15.0</v>
      </c>
      <c r="H27" s="254"/>
      <c r="I27" s="233" t="b">
        <v>1</v>
      </c>
      <c r="J27" s="159" t="str">
        <f t="shared" si="3"/>
        <v>CH01-04. Gemini로 기획서 작성하기</v>
      </c>
      <c r="K27" s="146"/>
      <c r="L27" s="86"/>
      <c r="M27" s="234">
        <v>46050.0</v>
      </c>
      <c r="N27" s="235"/>
      <c r="O27" s="236"/>
      <c r="P27" s="248"/>
      <c r="Q27" s="86"/>
      <c r="R27" s="238">
        <v>46066.0</v>
      </c>
    </row>
    <row r="28">
      <c r="A28" s="241"/>
      <c r="B28" s="255"/>
      <c r="C28" s="256" t="s">
        <v>308</v>
      </c>
      <c r="D28" s="257" t="s">
        <v>309</v>
      </c>
      <c r="E28" s="258"/>
      <c r="F28" s="259"/>
      <c r="G28" s="260"/>
      <c r="H28" s="261"/>
      <c r="I28" s="262"/>
      <c r="J28" s="220"/>
      <c r="K28" s="221"/>
      <c r="L28" s="86"/>
      <c r="M28" s="253"/>
      <c r="N28" s="223"/>
      <c r="O28" s="224"/>
      <c r="P28" s="212"/>
      <c r="Q28" s="86"/>
      <c r="R28" s="212"/>
    </row>
    <row r="29">
      <c r="A29" s="225"/>
      <c r="B29" s="226" t="b">
        <v>1</v>
      </c>
      <c r="C29" s="263" t="s">
        <v>179</v>
      </c>
      <c r="D29" s="228" t="s">
        <v>310</v>
      </c>
      <c r="E29" s="239" t="s">
        <v>181</v>
      </c>
      <c r="F29" s="230" t="s">
        <v>311</v>
      </c>
      <c r="G29" s="231">
        <v>30.0</v>
      </c>
      <c r="H29" s="254"/>
      <c r="I29" s="233" t="b">
        <v>1</v>
      </c>
      <c r="J29" s="159" t="str">
        <f t="shared" ref="J29:J35" si="4">CONCATENATE(C29,"-",E29, ". ",F29)</f>
        <v>CH01-01. PRD 작성 및 로직 구현하기</v>
      </c>
      <c r="K29" s="146"/>
      <c r="L29" s="86"/>
      <c r="M29" s="234">
        <v>46050.0</v>
      </c>
      <c r="N29" s="235"/>
      <c r="O29" s="236"/>
      <c r="P29" s="248"/>
      <c r="Q29" s="86"/>
      <c r="R29" s="238">
        <v>46066.0</v>
      </c>
    </row>
    <row r="30">
      <c r="A30" s="111"/>
      <c r="B30" s="226" t="b">
        <v>1</v>
      </c>
      <c r="C30" s="227" t="s">
        <v>195</v>
      </c>
      <c r="D30" s="228" t="s">
        <v>312</v>
      </c>
      <c r="E30" s="239" t="s">
        <v>181</v>
      </c>
      <c r="F30" s="230" t="s">
        <v>313</v>
      </c>
      <c r="G30" s="231">
        <v>10.0</v>
      </c>
      <c r="H30" s="254"/>
      <c r="I30" s="233" t="b">
        <v>1</v>
      </c>
      <c r="J30" s="159" t="str">
        <f t="shared" si="4"/>
        <v>CH02-01. PRD 작성하기</v>
      </c>
      <c r="K30" s="146"/>
      <c r="L30" s="86"/>
      <c r="M30" s="234">
        <v>46051.0</v>
      </c>
      <c r="N30" s="235"/>
      <c r="O30" s="236"/>
      <c r="P30" s="248"/>
      <c r="Q30" s="86"/>
      <c r="R30" s="238">
        <v>46066.0</v>
      </c>
    </row>
    <row r="31">
      <c r="A31" s="111"/>
      <c r="B31" s="226" t="b">
        <v>1</v>
      </c>
      <c r="C31" s="227" t="s">
        <v>195</v>
      </c>
      <c r="D31" s="228" t="s">
        <v>312</v>
      </c>
      <c r="E31" s="239" t="s">
        <v>183</v>
      </c>
      <c r="F31" s="230" t="s">
        <v>314</v>
      </c>
      <c r="G31" s="231">
        <v>25.0</v>
      </c>
      <c r="H31" s="254"/>
      <c r="I31" s="233" t="b">
        <v>1</v>
      </c>
      <c r="J31" s="264" t="str">
        <f t="shared" si="4"/>
        <v>CH02-02. 계산기 구현하기</v>
      </c>
      <c r="K31" s="265"/>
      <c r="L31" s="86"/>
      <c r="M31" s="234">
        <v>46051.0</v>
      </c>
      <c r="N31" s="235"/>
      <c r="O31" s="236"/>
      <c r="P31" s="248"/>
      <c r="Q31" s="86"/>
      <c r="R31" s="238">
        <v>46066.0</v>
      </c>
    </row>
    <row r="32">
      <c r="A32" s="111"/>
      <c r="B32" s="226" t="b">
        <v>1</v>
      </c>
      <c r="C32" s="227" t="s">
        <v>195</v>
      </c>
      <c r="D32" s="228" t="s">
        <v>312</v>
      </c>
      <c r="E32" s="239" t="s">
        <v>189</v>
      </c>
      <c r="F32" s="230" t="s">
        <v>315</v>
      </c>
      <c r="G32" s="231">
        <v>10.0</v>
      </c>
      <c r="H32" s="232"/>
      <c r="I32" s="266" t="b">
        <v>1</v>
      </c>
      <c r="J32" s="264" t="str">
        <f t="shared" si="4"/>
        <v>CH02-03. 테스트 및 점검하기</v>
      </c>
      <c r="K32" s="265"/>
      <c r="L32" s="86"/>
      <c r="M32" s="234">
        <v>46051.0</v>
      </c>
      <c r="N32" s="235"/>
      <c r="O32" s="236"/>
      <c r="P32" s="248"/>
      <c r="Q32" s="86"/>
      <c r="R32" s="238">
        <v>46066.0</v>
      </c>
    </row>
    <row r="33">
      <c r="A33" s="111"/>
      <c r="B33" s="226" t="b">
        <v>1</v>
      </c>
      <c r="C33" s="227" t="s">
        <v>200</v>
      </c>
      <c r="D33" s="228" t="s">
        <v>316</v>
      </c>
      <c r="E33" s="239" t="s">
        <v>181</v>
      </c>
      <c r="F33" s="230" t="s">
        <v>313</v>
      </c>
      <c r="G33" s="231">
        <v>10.0</v>
      </c>
      <c r="H33" s="232"/>
      <c r="I33" s="266" t="b">
        <v>1</v>
      </c>
      <c r="J33" s="267" t="str">
        <f t="shared" si="4"/>
        <v>CH03-01. PRD 작성하기</v>
      </c>
      <c r="K33" s="90"/>
      <c r="L33" s="86"/>
      <c r="M33" s="234">
        <v>46051.0</v>
      </c>
      <c r="N33" s="235"/>
      <c r="O33" s="236"/>
      <c r="P33" s="248"/>
      <c r="Q33" s="86"/>
      <c r="R33" s="238">
        <v>46066.0</v>
      </c>
    </row>
    <row r="34">
      <c r="A34" s="111"/>
      <c r="B34" s="226" t="b">
        <v>1</v>
      </c>
      <c r="C34" s="227" t="s">
        <v>200</v>
      </c>
      <c r="D34" s="228" t="s">
        <v>316</v>
      </c>
      <c r="E34" s="239" t="s">
        <v>183</v>
      </c>
      <c r="F34" s="230" t="s">
        <v>317</v>
      </c>
      <c r="G34" s="231">
        <v>25.0</v>
      </c>
      <c r="H34" s="232"/>
      <c r="I34" s="266" t="b">
        <v>1</v>
      </c>
      <c r="J34" s="267" t="str">
        <f t="shared" si="4"/>
        <v>CH03-02. 집중 시간 트래커 캘린더 구현하기</v>
      </c>
      <c r="K34" s="90"/>
      <c r="L34" s="86"/>
      <c r="M34" s="234">
        <v>46051.0</v>
      </c>
      <c r="N34" s="249"/>
      <c r="O34" s="268"/>
      <c r="P34" s="269"/>
      <c r="Q34" s="86"/>
      <c r="R34" s="238">
        <v>46066.0</v>
      </c>
    </row>
    <row r="35">
      <c r="A35" s="111"/>
      <c r="B35" s="226" t="b">
        <v>1</v>
      </c>
      <c r="C35" s="227" t="s">
        <v>200</v>
      </c>
      <c r="D35" s="228" t="s">
        <v>316</v>
      </c>
      <c r="E35" s="239" t="s">
        <v>189</v>
      </c>
      <c r="F35" s="230" t="s">
        <v>315</v>
      </c>
      <c r="G35" s="231">
        <v>10.0</v>
      </c>
      <c r="H35" s="232"/>
      <c r="I35" s="266" t="b">
        <v>1</v>
      </c>
      <c r="J35" s="267" t="str">
        <f t="shared" si="4"/>
        <v>CH03-03. 테스트 및 점검하기</v>
      </c>
      <c r="K35" s="90"/>
      <c r="L35" s="86"/>
      <c r="M35" s="234">
        <v>46051.0</v>
      </c>
      <c r="N35" s="249"/>
      <c r="O35" s="268"/>
      <c r="P35" s="269"/>
      <c r="Q35" s="86"/>
      <c r="R35" s="238">
        <v>46066.0</v>
      </c>
    </row>
    <row r="36">
      <c r="A36" s="241"/>
      <c r="B36" s="212"/>
      <c r="C36" s="213" t="s">
        <v>318</v>
      </c>
      <c r="D36" s="214" t="s">
        <v>319</v>
      </c>
      <c r="E36" s="215"/>
      <c r="F36" s="251"/>
      <c r="G36" s="242"/>
      <c r="H36" s="252"/>
      <c r="I36" s="212"/>
      <c r="J36" s="220"/>
      <c r="K36" s="221"/>
      <c r="L36" s="86"/>
      <c r="M36" s="253"/>
      <c r="N36" s="223"/>
      <c r="O36" s="224"/>
      <c r="P36" s="212"/>
      <c r="Q36" s="86"/>
      <c r="R36" s="212"/>
    </row>
    <row r="37">
      <c r="A37" s="111"/>
      <c r="B37" s="226" t="b">
        <v>1</v>
      </c>
      <c r="C37" s="227" t="s">
        <v>179</v>
      </c>
      <c r="D37" s="228" t="s">
        <v>320</v>
      </c>
      <c r="E37" s="239" t="s">
        <v>181</v>
      </c>
      <c r="F37" s="230" t="s">
        <v>313</v>
      </c>
      <c r="G37" s="231">
        <v>15.0</v>
      </c>
      <c r="H37" s="254"/>
      <c r="I37" s="233" t="b">
        <v>1</v>
      </c>
      <c r="J37" s="159" t="str">
        <f>CONCATENATE(C37,"-",E37, ". ",F37)</f>
        <v>CH01-01. PRD 작성하기</v>
      </c>
      <c r="K37" s="146"/>
      <c r="L37" s="86"/>
      <c r="M37" s="234">
        <v>46051.0</v>
      </c>
      <c r="N37" s="235"/>
      <c r="O37" s="236"/>
      <c r="P37" s="248"/>
      <c r="Q37" s="86"/>
      <c r="R37" s="238">
        <v>46073.0</v>
      </c>
    </row>
    <row r="38">
      <c r="A38" s="111"/>
      <c r="B38" s="226" t="b">
        <v>1</v>
      </c>
      <c r="C38" s="227" t="s">
        <v>179</v>
      </c>
      <c r="D38" s="228" t="s">
        <v>320</v>
      </c>
      <c r="E38" s="239" t="s">
        <v>183</v>
      </c>
      <c r="F38" s="230" t="s">
        <v>321</v>
      </c>
      <c r="G38" s="231">
        <v>30.0</v>
      </c>
      <c r="H38" s="254"/>
      <c r="I38" s="233" t="b">
        <v>1</v>
      </c>
      <c r="J38" s="159" t="str">
        <f>CONCATENATE(C39,"-",E38, ". ",F38)</f>
        <v>CH01-02. 로직 구현 및 쿠팡 페이지 테스트하기</v>
      </c>
      <c r="K38" s="146"/>
      <c r="L38" s="86"/>
      <c r="M38" s="234">
        <v>46051.0</v>
      </c>
      <c r="N38" s="235"/>
      <c r="O38" s="236"/>
      <c r="P38" s="248"/>
      <c r="Q38" s="86"/>
      <c r="R38" s="238">
        <v>46073.0</v>
      </c>
    </row>
    <row r="39">
      <c r="A39" s="111"/>
      <c r="B39" s="226" t="b">
        <v>1</v>
      </c>
      <c r="C39" s="227" t="s">
        <v>179</v>
      </c>
      <c r="D39" s="228" t="s">
        <v>320</v>
      </c>
      <c r="E39" s="239" t="s">
        <v>189</v>
      </c>
      <c r="F39" s="230" t="s">
        <v>322</v>
      </c>
      <c r="G39" s="231">
        <v>15.0</v>
      </c>
      <c r="H39" s="254"/>
      <c r="I39" s="233" t="b">
        <v>1</v>
      </c>
      <c r="J39" s="159" t="str">
        <f t="shared" ref="J39:J53" si="5">CONCATENATE(C39,"-",E39, ". ",F39)</f>
        <v>CH01-03. 네이버 페이지 테스트하기</v>
      </c>
      <c r="K39" s="146"/>
      <c r="L39" s="86"/>
      <c r="M39" s="234">
        <v>46051.0</v>
      </c>
      <c r="N39" s="235"/>
      <c r="O39" s="236"/>
      <c r="P39" s="248"/>
      <c r="Q39" s="86"/>
      <c r="R39" s="238">
        <v>46073.0</v>
      </c>
    </row>
    <row r="40">
      <c r="A40" s="111"/>
      <c r="B40" s="226" t="b">
        <v>1</v>
      </c>
      <c r="C40" s="227" t="s">
        <v>195</v>
      </c>
      <c r="D40" s="228" t="s">
        <v>323</v>
      </c>
      <c r="E40" s="239" t="s">
        <v>181</v>
      </c>
      <c r="F40" s="230" t="s">
        <v>313</v>
      </c>
      <c r="G40" s="231">
        <v>15.0</v>
      </c>
      <c r="H40" s="254"/>
      <c r="I40" s="233" t="b">
        <v>1</v>
      </c>
      <c r="J40" s="159" t="str">
        <f t="shared" si="5"/>
        <v>CH02-01. PRD 작성하기</v>
      </c>
      <c r="K40" s="146"/>
      <c r="L40" s="86"/>
      <c r="M40" s="234">
        <v>46052.0</v>
      </c>
      <c r="N40" s="235"/>
      <c r="O40" s="236"/>
      <c r="P40" s="248"/>
      <c r="Q40" s="86"/>
      <c r="R40" s="238">
        <v>46073.0</v>
      </c>
    </row>
    <row r="41">
      <c r="A41" s="111"/>
      <c r="B41" s="226" t="b">
        <v>1</v>
      </c>
      <c r="C41" s="227" t="s">
        <v>195</v>
      </c>
      <c r="D41" s="228" t="s">
        <v>323</v>
      </c>
      <c r="E41" s="239" t="s">
        <v>183</v>
      </c>
      <c r="F41" s="230" t="s">
        <v>324</v>
      </c>
      <c r="G41" s="231">
        <v>15.0</v>
      </c>
      <c r="H41" s="254"/>
      <c r="I41" s="233" t="b">
        <v>1</v>
      </c>
      <c r="J41" s="159" t="str">
        <f t="shared" si="5"/>
        <v>CH02-02. 프론트엔드와 백엔드 나눠서 개발하기</v>
      </c>
      <c r="K41" s="146"/>
      <c r="L41" s="86"/>
      <c r="M41" s="234">
        <v>46052.0</v>
      </c>
      <c r="N41" s="235"/>
      <c r="O41" s="236" t="s">
        <v>325</v>
      </c>
      <c r="P41" s="248"/>
      <c r="Q41" s="86"/>
      <c r="R41" s="238">
        <v>46073.0</v>
      </c>
    </row>
    <row r="42">
      <c r="A42" s="111"/>
      <c r="B42" s="226" t="b">
        <v>1</v>
      </c>
      <c r="C42" s="227" t="s">
        <v>195</v>
      </c>
      <c r="D42" s="228" t="s">
        <v>323</v>
      </c>
      <c r="E42" s="239" t="s">
        <v>189</v>
      </c>
      <c r="F42" s="230" t="s">
        <v>326</v>
      </c>
      <c r="G42" s="231">
        <v>15.0</v>
      </c>
      <c r="H42" s="254"/>
      <c r="I42" s="233" t="b">
        <v>1</v>
      </c>
      <c r="J42" s="159" t="str">
        <f t="shared" si="5"/>
        <v>CH02-03. api 키 설정하기</v>
      </c>
      <c r="K42" s="146"/>
      <c r="L42" s="86"/>
      <c r="M42" s="234">
        <v>46052.0</v>
      </c>
      <c r="N42" s="235"/>
      <c r="O42" s="236"/>
      <c r="P42" s="248"/>
      <c r="Q42" s="86"/>
      <c r="R42" s="238">
        <v>46073.0</v>
      </c>
    </row>
    <row r="43">
      <c r="A43" s="111"/>
      <c r="B43" s="226" t="b">
        <v>1</v>
      </c>
      <c r="C43" s="227" t="s">
        <v>195</v>
      </c>
      <c r="D43" s="228" t="s">
        <v>323</v>
      </c>
      <c r="E43" s="239" t="s">
        <v>191</v>
      </c>
      <c r="F43" s="230" t="s">
        <v>327</v>
      </c>
      <c r="G43" s="231">
        <v>15.0</v>
      </c>
      <c r="H43" s="254"/>
      <c r="I43" s="233" t="b">
        <v>1</v>
      </c>
      <c r="J43" s="159" t="str">
        <f t="shared" si="5"/>
        <v>CH02-04. 실전 테스트 및 점검하기</v>
      </c>
      <c r="K43" s="146"/>
      <c r="L43" s="86"/>
      <c r="M43" s="234">
        <v>46052.0</v>
      </c>
      <c r="N43" s="235"/>
      <c r="O43" s="236"/>
      <c r="P43" s="248"/>
      <c r="Q43" s="86"/>
      <c r="R43" s="238">
        <v>46073.0</v>
      </c>
    </row>
    <row r="44">
      <c r="A44" s="111"/>
      <c r="B44" s="226" t="b">
        <v>1</v>
      </c>
      <c r="C44" s="227" t="s">
        <v>200</v>
      </c>
      <c r="D44" s="228" t="s">
        <v>328</v>
      </c>
      <c r="E44" s="239" t="s">
        <v>181</v>
      </c>
      <c r="F44" s="230" t="s">
        <v>313</v>
      </c>
      <c r="G44" s="231">
        <v>15.0</v>
      </c>
      <c r="H44" s="254"/>
      <c r="I44" s="233" t="b">
        <v>1</v>
      </c>
      <c r="J44" s="159" t="str">
        <f t="shared" si="5"/>
        <v>CH03-01. PRD 작성하기</v>
      </c>
      <c r="K44" s="146"/>
      <c r="L44" s="86"/>
      <c r="M44" s="234">
        <v>46052.0</v>
      </c>
      <c r="N44" s="235"/>
      <c r="O44" s="236"/>
      <c r="P44" s="248"/>
      <c r="Q44" s="86"/>
      <c r="R44" s="238">
        <v>46073.0</v>
      </c>
    </row>
    <row r="45">
      <c r="A45" s="111"/>
      <c r="B45" s="226" t="b">
        <v>1</v>
      </c>
      <c r="C45" s="227" t="s">
        <v>200</v>
      </c>
      <c r="D45" s="228" t="s">
        <v>328</v>
      </c>
      <c r="E45" s="239" t="s">
        <v>183</v>
      </c>
      <c r="F45" s="230" t="s">
        <v>329</v>
      </c>
      <c r="G45" s="231">
        <v>15.0</v>
      </c>
      <c r="H45" s="254"/>
      <c r="I45" s="233" t="b">
        <v>1</v>
      </c>
      <c r="J45" s="159" t="str">
        <f t="shared" si="5"/>
        <v>CH03-02. 로직 구현하기 및 음성인식 테스트하기</v>
      </c>
      <c r="K45" s="146"/>
      <c r="L45" s="86"/>
      <c r="M45" s="234">
        <v>46052.0</v>
      </c>
      <c r="N45" s="235"/>
      <c r="O45" s="236"/>
      <c r="P45" s="248"/>
      <c r="Q45" s="86"/>
      <c r="R45" s="238">
        <v>46073.0</v>
      </c>
    </row>
    <row r="46">
      <c r="A46" s="111"/>
      <c r="B46" s="226" t="b">
        <v>1</v>
      </c>
      <c r="C46" s="227" t="s">
        <v>200</v>
      </c>
      <c r="D46" s="228" t="s">
        <v>328</v>
      </c>
      <c r="E46" s="239" t="s">
        <v>189</v>
      </c>
      <c r="F46" s="230" t="s">
        <v>330</v>
      </c>
      <c r="G46" s="231">
        <v>15.0</v>
      </c>
      <c r="H46" s="254"/>
      <c r="I46" s="233" t="b">
        <v>1</v>
      </c>
      <c r="J46" s="159" t="str">
        <f t="shared" si="5"/>
        <v>CH03-03. 디자인 변경하기</v>
      </c>
      <c r="K46" s="146"/>
      <c r="L46" s="86"/>
      <c r="M46" s="234">
        <v>46052.0</v>
      </c>
      <c r="N46" s="235"/>
      <c r="O46" s="236"/>
      <c r="P46" s="248"/>
      <c r="Q46" s="86"/>
      <c r="R46" s="238">
        <v>46073.0</v>
      </c>
    </row>
    <row r="47">
      <c r="A47" s="111"/>
      <c r="B47" s="226" t="b">
        <v>1</v>
      </c>
      <c r="C47" s="227" t="s">
        <v>200</v>
      </c>
      <c r="D47" s="228" t="s">
        <v>328</v>
      </c>
      <c r="E47" s="239" t="s">
        <v>191</v>
      </c>
      <c r="F47" s="230" t="s">
        <v>331</v>
      </c>
      <c r="G47" s="231">
        <v>15.0</v>
      </c>
      <c r="H47" s="254"/>
      <c r="I47" s="233" t="b">
        <v>1</v>
      </c>
      <c r="J47" s="159" t="str">
        <f t="shared" si="5"/>
        <v>CH03-04. 음성 인식 및 문서 자동 저장 테스트하기</v>
      </c>
      <c r="K47" s="146"/>
      <c r="L47" s="86"/>
      <c r="M47" s="234">
        <v>46052.0</v>
      </c>
      <c r="N47" s="235"/>
      <c r="O47" s="236"/>
      <c r="P47" s="248"/>
      <c r="Q47" s="86"/>
      <c r="R47" s="238">
        <v>46073.0</v>
      </c>
    </row>
    <row r="48">
      <c r="A48" s="111"/>
      <c r="B48" s="226" t="b">
        <v>1</v>
      </c>
      <c r="C48" s="227" t="s">
        <v>252</v>
      </c>
      <c r="D48" s="228" t="s">
        <v>332</v>
      </c>
      <c r="E48" s="239" t="s">
        <v>181</v>
      </c>
      <c r="F48" s="230" t="s">
        <v>313</v>
      </c>
      <c r="G48" s="231">
        <v>15.0</v>
      </c>
      <c r="H48" s="254"/>
      <c r="I48" s="233" t="b">
        <v>1</v>
      </c>
      <c r="J48" s="159" t="str">
        <f t="shared" si="5"/>
        <v>CH04-01. PRD 작성하기</v>
      </c>
      <c r="K48" s="146"/>
      <c r="L48" s="86"/>
      <c r="M48" s="234">
        <v>46052.0</v>
      </c>
      <c r="N48" s="235"/>
      <c r="O48" s="236"/>
      <c r="P48" s="248"/>
      <c r="Q48" s="86"/>
      <c r="R48" s="238">
        <v>46073.0</v>
      </c>
    </row>
    <row r="49">
      <c r="A49" s="111"/>
      <c r="B49" s="226" t="b">
        <v>1</v>
      </c>
      <c r="C49" s="227" t="s">
        <v>252</v>
      </c>
      <c r="D49" s="228" t="s">
        <v>332</v>
      </c>
      <c r="E49" s="239" t="s">
        <v>183</v>
      </c>
      <c r="F49" s="230" t="s">
        <v>333</v>
      </c>
      <c r="G49" s="231">
        <v>15.0</v>
      </c>
      <c r="H49" s="254"/>
      <c r="I49" s="233" t="b">
        <v>1</v>
      </c>
      <c r="J49" s="159" t="str">
        <f t="shared" si="5"/>
        <v>CH04-02. github 설정 및 로직 구현하기</v>
      </c>
      <c r="K49" s="146"/>
      <c r="L49" s="86"/>
      <c r="M49" s="234">
        <v>46055.0</v>
      </c>
      <c r="N49" s="235"/>
      <c r="O49" s="236" t="s">
        <v>334</v>
      </c>
      <c r="P49" s="248"/>
      <c r="Q49" s="86"/>
      <c r="R49" s="238">
        <v>46073.0</v>
      </c>
    </row>
    <row r="50">
      <c r="A50" s="111"/>
      <c r="B50" s="226" t="b">
        <v>1</v>
      </c>
      <c r="C50" s="227" t="s">
        <v>252</v>
      </c>
      <c r="D50" s="228" t="s">
        <v>332</v>
      </c>
      <c r="E50" s="239" t="s">
        <v>189</v>
      </c>
      <c r="F50" s="230" t="s">
        <v>315</v>
      </c>
      <c r="G50" s="231">
        <v>5.0</v>
      </c>
      <c r="H50" s="254"/>
      <c r="I50" s="233" t="b">
        <v>1</v>
      </c>
      <c r="J50" s="159" t="str">
        <f t="shared" si="5"/>
        <v>CH04-03. 테스트 및 점검하기</v>
      </c>
      <c r="K50" s="146"/>
      <c r="L50" s="86"/>
      <c r="M50" s="234">
        <v>46055.0</v>
      </c>
      <c r="N50" s="235"/>
      <c r="O50" s="236"/>
      <c r="P50" s="248"/>
      <c r="Q50" s="86"/>
      <c r="R50" s="238">
        <v>46073.0</v>
      </c>
    </row>
    <row r="51">
      <c r="A51" s="137"/>
      <c r="B51" s="226" t="b">
        <v>1</v>
      </c>
      <c r="C51" s="227" t="s">
        <v>256</v>
      </c>
      <c r="D51" s="228" t="s">
        <v>335</v>
      </c>
      <c r="E51" s="239" t="s">
        <v>181</v>
      </c>
      <c r="F51" s="230" t="s">
        <v>313</v>
      </c>
      <c r="G51" s="231">
        <v>15.0</v>
      </c>
      <c r="H51" s="254"/>
      <c r="I51" s="233" t="b">
        <v>1</v>
      </c>
      <c r="J51" s="159" t="str">
        <f t="shared" si="5"/>
        <v>CH05-01. PRD 작성하기</v>
      </c>
      <c r="K51" s="146"/>
      <c r="L51" s="86"/>
      <c r="M51" s="234">
        <v>46055.0</v>
      </c>
      <c r="N51" s="235"/>
      <c r="O51" s="236" t="s">
        <v>336</v>
      </c>
      <c r="P51" s="248"/>
      <c r="Q51" s="86"/>
      <c r="R51" s="238">
        <v>46073.0</v>
      </c>
    </row>
    <row r="52">
      <c r="A52" s="137"/>
      <c r="B52" s="226" t="b">
        <v>1</v>
      </c>
      <c r="C52" s="227" t="s">
        <v>256</v>
      </c>
      <c r="D52" s="228" t="s">
        <v>335</v>
      </c>
      <c r="E52" s="239" t="s">
        <v>183</v>
      </c>
      <c r="F52" s="230" t="s">
        <v>337</v>
      </c>
      <c r="G52" s="231">
        <v>15.0</v>
      </c>
      <c r="H52" s="254"/>
      <c r="I52" s="233" t="b">
        <v>1</v>
      </c>
      <c r="J52" s="159" t="str">
        <f t="shared" si="5"/>
        <v>CH05-02. 로직 구현 하기</v>
      </c>
      <c r="K52" s="146"/>
      <c r="L52" s="86"/>
      <c r="M52" s="234">
        <v>46055.0</v>
      </c>
      <c r="N52" s="235"/>
      <c r="O52" s="236"/>
      <c r="P52" s="248"/>
      <c r="Q52" s="86"/>
      <c r="R52" s="238">
        <v>46073.0</v>
      </c>
    </row>
    <row r="53">
      <c r="A53" s="137"/>
      <c r="B53" s="226" t="b">
        <v>1</v>
      </c>
      <c r="C53" s="227" t="s">
        <v>256</v>
      </c>
      <c r="D53" s="228" t="s">
        <v>335</v>
      </c>
      <c r="E53" s="239" t="s">
        <v>189</v>
      </c>
      <c r="F53" s="230" t="s">
        <v>315</v>
      </c>
      <c r="G53" s="231">
        <v>15.0</v>
      </c>
      <c r="H53" s="254"/>
      <c r="I53" s="233" t="b">
        <v>1</v>
      </c>
      <c r="J53" s="159" t="str">
        <f t="shared" si="5"/>
        <v>CH05-03. 테스트 및 점검하기</v>
      </c>
      <c r="K53" s="146"/>
      <c r="L53" s="86"/>
      <c r="M53" s="234">
        <v>46055.0</v>
      </c>
      <c r="N53" s="235"/>
      <c r="O53" s="236"/>
      <c r="P53" s="248"/>
      <c r="Q53" s="86"/>
      <c r="R53" s="238">
        <v>46073.0</v>
      </c>
    </row>
    <row r="54">
      <c r="A54" s="241"/>
      <c r="B54" s="212"/>
      <c r="C54" s="213" t="s">
        <v>338</v>
      </c>
      <c r="D54" s="214" t="s">
        <v>339</v>
      </c>
      <c r="E54" s="270"/>
      <c r="F54" s="259"/>
      <c r="G54" s="271"/>
      <c r="H54" s="272"/>
      <c r="I54" s="273"/>
      <c r="J54" s="220"/>
      <c r="K54" s="221"/>
      <c r="L54" s="86"/>
      <c r="M54" s="253"/>
      <c r="N54" s="223"/>
      <c r="O54" s="224"/>
      <c r="P54" s="212"/>
      <c r="Q54" s="86"/>
      <c r="R54" s="212"/>
    </row>
    <row r="55">
      <c r="A55" s="111"/>
      <c r="B55" s="226" t="b">
        <v>1</v>
      </c>
      <c r="C55" s="227" t="s">
        <v>179</v>
      </c>
      <c r="D55" s="228" t="s">
        <v>340</v>
      </c>
      <c r="E55" s="229" t="s">
        <v>181</v>
      </c>
      <c r="F55" s="274" t="s">
        <v>341</v>
      </c>
      <c r="G55" s="231">
        <v>10.0</v>
      </c>
      <c r="H55" s="232"/>
      <c r="I55" s="266" t="b">
        <v>1</v>
      </c>
      <c r="J55" s="159" t="str">
        <f t="shared" ref="J55:J71" si="6">CONCATENATE(C55,"-",E55, ". ",F55)</f>
        <v>CH01-01. 바이브코딩으로 만든 디자인이 ai 티가 나는 이유</v>
      </c>
      <c r="K55" s="146"/>
      <c r="L55" s="86"/>
      <c r="M55" s="234">
        <v>46059.0</v>
      </c>
      <c r="N55" s="249"/>
      <c r="O55" s="268"/>
      <c r="P55" s="269"/>
      <c r="Q55" s="86"/>
      <c r="R55" s="238">
        <v>46073.0</v>
      </c>
    </row>
    <row r="56">
      <c r="A56" s="111"/>
      <c r="B56" s="226" t="b">
        <v>1</v>
      </c>
      <c r="C56" s="227" t="s">
        <v>179</v>
      </c>
      <c r="D56" s="228" t="s">
        <v>340</v>
      </c>
      <c r="E56" s="229" t="s">
        <v>183</v>
      </c>
      <c r="F56" s="274" t="s">
        <v>342</v>
      </c>
      <c r="G56" s="231">
        <v>10.0</v>
      </c>
      <c r="H56" s="232"/>
      <c r="I56" s="266" t="b">
        <v>1</v>
      </c>
      <c r="J56" s="159" t="str">
        <f t="shared" si="6"/>
        <v>CH01-02. ai스러움을 방지하는 방법</v>
      </c>
      <c r="K56" s="146"/>
      <c r="L56" s="86"/>
      <c r="M56" s="234">
        <v>46059.0</v>
      </c>
      <c r="N56" s="249"/>
      <c r="O56" s="268"/>
      <c r="P56" s="269"/>
      <c r="Q56" s="86"/>
      <c r="R56" s="238">
        <v>46073.0</v>
      </c>
    </row>
    <row r="57">
      <c r="A57" s="111"/>
      <c r="B57" s="226" t="b">
        <v>1</v>
      </c>
      <c r="C57" s="227" t="s">
        <v>195</v>
      </c>
      <c r="D57" s="228" t="s">
        <v>343</v>
      </c>
      <c r="E57" s="229" t="s">
        <v>181</v>
      </c>
      <c r="F57" s="274" t="s">
        <v>344</v>
      </c>
      <c r="G57" s="231">
        <v>5.0</v>
      </c>
      <c r="H57" s="232"/>
      <c r="I57" s="266" t="b">
        <v>1</v>
      </c>
      <c r="J57" s="159" t="str">
        <f t="shared" si="6"/>
        <v>CH02-01. AI studio 설명</v>
      </c>
      <c r="K57" s="146"/>
      <c r="L57" s="86"/>
      <c r="M57" s="234">
        <v>46055.0</v>
      </c>
      <c r="N57" s="235"/>
      <c r="O57" s="236"/>
      <c r="P57" s="248"/>
      <c r="Q57" s="86"/>
      <c r="R57" s="238">
        <v>46073.0</v>
      </c>
    </row>
    <row r="58">
      <c r="A58" s="111"/>
      <c r="B58" s="226" t="b">
        <v>1</v>
      </c>
      <c r="C58" s="227" t="s">
        <v>195</v>
      </c>
      <c r="D58" s="228" t="s">
        <v>343</v>
      </c>
      <c r="E58" s="229" t="s">
        <v>183</v>
      </c>
      <c r="F58" s="274" t="s">
        <v>345</v>
      </c>
      <c r="G58" s="231">
        <v>5.0</v>
      </c>
      <c r="H58" s="254"/>
      <c r="I58" s="233" t="b">
        <v>1</v>
      </c>
      <c r="J58" s="159" t="str">
        <f t="shared" si="6"/>
        <v>CH02-02. 레퍼런스 찾는 법</v>
      </c>
      <c r="K58" s="146"/>
      <c r="L58" s="86"/>
      <c r="M58" s="234">
        <v>46055.0</v>
      </c>
      <c r="N58" s="235"/>
      <c r="O58" s="236"/>
      <c r="P58" s="248"/>
      <c r="Q58" s="86"/>
      <c r="R58" s="238">
        <v>46073.0</v>
      </c>
    </row>
    <row r="59">
      <c r="A59" s="111"/>
      <c r="B59" s="226" t="b">
        <v>1</v>
      </c>
      <c r="C59" s="227" t="s">
        <v>195</v>
      </c>
      <c r="D59" s="228" t="s">
        <v>343</v>
      </c>
      <c r="E59" s="229" t="s">
        <v>189</v>
      </c>
      <c r="F59" s="274" t="s">
        <v>346</v>
      </c>
      <c r="G59" s="231">
        <v>15.0</v>
      </c>
      <c r="H59" s="254"/>
      <c r="I59" s="233" t="b">
        <v>1</v>
      </c>
      <c r="J59" s="159" t="str">
        <f t="shared" si="6"/>
        <v>CH02-03. 레퍼런스 적용하는 법</v>
      </c>
      <c r="K59" s="146"/>
      <c r="L59" s="86"/>
      <c r="M59" s="234">
        <v>46055.0</v>
      </c>
      <c r="N59" s="235"/>
      <c r="O59" s="236"/>
      <c r="P59" s="248"/>
      <c r="Q59" s="86"/>
      <c r="R59" s="238">
        <v>46073.0</v>
      </c>
    </row>
    <row r="60">
      <c r="A60" s="111"/>
      <c r="B60" s="226" t="b">
        <v>1</v>
      </c>
      <c r="C60" s="227" t="s">
        <v>195</v>
      </c>
      <c r="D60" s="228" t="s">
        <v>343</v>
      </c>
      <c r="E60" s="229" t="s">
        <v>191</v>
      </c>
      <c r="F60" s="274" t="s">
        <v>347</v>
      </c>
      <c r="G60" s="231">
        <v>5.0</v>
      </c>
      <c r="H60" s="254"/>
      <c r="I60" s="233" t="b">
        <v>1</v>
      </c>
      <c r="J60" s="159" t="str">
        <f t="shared" si="6"/>
        <v>CH02-04. AI studio+Antigravity 활용하기</v>
      </c>
      <c r="K60" s="146"/>
      <c r="L60" s="86"/>
      <c r="M60" s="234">
        <v>46056.0</v>
      </c>
      <c r="N60" s="235"/>
      <c r="O60" s="236"/>
      <c r="P60" s="248"/>
      <c r="Q60" s="86"/>
      <c r="R60" s="238">
        <v>46073.0</v>
      </c>
    </row>
    <row r="61">
      <c r="A61" s="225"/>
      <c r="B61" s="226" t="b">
        <v>1</v>
      </c>
      <c r="C61" s="227" t="s">
        <v>200</v>
      </c>
      <c r="D61" s="228" t="s">
        <v>348</v>
      </c>
      <c r="E61" s="229" t="s">
        <v>181</v>
      </c>
      <c r="F61" s="274" t="s">
        <v>349</v>
      </c>
      <c r="G61" s="275">
        <v>10.0</v>
      </c>
      <c r="H61" s="254"/>
      <c r="I61" s="233" t="b">
        <v>1</v>
      </c>
      <c r="J61" s="159" t="str">
        <f t="shared" si="6"/>
        <v>CH03-01. Spline 사용 방법</v>
      </c>
      <c r="K61" s="146"/>
      <c r="L61" s="86"/>
      <c r="M61" s="234">
        <v>46056.0</v>
      </c>
      <c r="N61" s="235"/>
      <c r="O61" s="236"/>
      <c r="P61" s="248"/>
      <c r="Q61" s="86"/>
      <c r="R61" s="238">
        <v>46073.0</v>
      </c>
    </row>
    <row r="62">
      <c r="A62" s="225"/>
      <c r="B62" s="226" t="b">
        <v>1</v>
      </c>
      <c r="C62" s="227" t="s">
        <v>200</v>
      </c>
      <c r="D62" s="228" t="s">
        <v>348</v>
      </c>
      <c r="E62" s="229" t="s">
        <v>183</v>
      </c>
      <c r="F62" s="274" t="s">
        <v>350</v>
      </c>
      <c r="G62" s="275">
        <v>10.0</v>
      </c>
      <c r="H62" s="254"/>
      <c r="I62" s="233" t="b">
        <v>1</v>
      </c>
      <c r="J62" s="159" t="str">
        <f t="shared" si="6"/>
        <v>CH03-02. gemini로 디자인 방향 잡기</v>
      </c>
      <c r="K62" s="146"/>
      <c r="L62" s="86"/>
      <c r="M62" s="234">
        <v>46056.0</v>
      </c>
      <c r="N62" s="235"/>
      <c r="O62" s="236"/>
      <c r="P62" s="248"/>
      <c r="Q62" s="86"/>
      <c r="R62" s="238">
        <v>46073.0</v>
      </c>
    </row>
    <row r="63">
      <c r="A63" s="225"/>
      <c r="B63" s="226" t="b">
        <v>1</v>
      </c>
      <c r="C63" s="227" t="s">
        <v>200</v>
      </c>
      <c r="D63" s="228" t="s">
        <v>348</v>
      </c>
      <c r="E63" s="229" t="s">
        <v>189</v>
      </c>
      <c r="F63" s="274" t="s">
        <v>351</v>
      </c>
      <c r="G63" s="231">
        <v>5.0</v>
      </c>
      <c r="H63" s="254"/>
      <c r="I63" s="233" t="b">
        <v>1</v>
      </c>
      <c r="J63" s="159" t="str">
        <f t="shared" si="6"/>
        <v>CH03-03. ai studio로 디자인하기</v>
      </c>
      <c r="K63" s="146"/>
      <c r="L63" s="86"/>
      <c r="M63" s="234">
        <v>46056.0</v>
      </c>
      <c r="N63" s="235"/>
      <c r="O63" s="236"/>
      <c r="P63" s="248"/>
      <c r="Q63" s="86"/>
      <c r="R63" s="238">
        <v>46073.0</v>
      </c>
    </row>
    <row r="64">
      <c r="A64" s="111"/>
      <c r="B64" s="226" t="b">
        <v>1</v>
      </c>
      <c r="C64" s="227" t="s">
        <v>200</v>
      </c>
      <c r="D64" s="228" t="s">
        <v>348</v>
      </c>
      <c r="E64" s="229" t="s">
        <v>191</v>
      </c>
      <c r="F64" s="274" t="s">
        <v>352</v>
      </c>
      <c r="G64" s="231">
        <v>10.0</v>
      </c>
      <c r="H64" s="254"/>
      <c r="I64" s="233" t="b">
        <v>1</v>
      </c>
      <c r="J64" s="159" t="str">
        <f t="shared" si="6"/>
        <v>CH03-04. Antigravity로 옮겨 수정하기</v>
      </c>
      <c r="K64" s="146"/>
      <c r="L64" s="86"/>
      <c r="M64" s="234">
        <v>46056.0</v>
      </c>
      <c r="N64" s="235"/>
      <c r="O64" s="236"/>
      <c r="P64" s="248"/>
      <c r="Q64" s="86"/>
      <c r="R64" s="238">
        <v>46073.0</v>
      </c>
    </row>
    <row r="65">
      <c r="A65" s="111"/>
      <c r="B65" s="226" t="b">
        <v>1</v>
      </c>
      <c r="C65" s="227" t="s">
        <v>252</v>
      </c>
      <c r="D65" s="228" t="s">
        <v>353</v>
      </c>
      <c r="E65" s="229" t="s">
        <v>181</v>
      </c>
      <c r="F65" s="274" t="s">
        <v>350</v>
      </c>
      <c r="G65" s="231">
        <v>10.0</v>
      </c>
      <c r="H65" s="254"/>
      <c r="I65" s="233" t="b">
        <v>1</v>
      </c>
      <c r="J65" s="159" t="str">
        <f t="shared" si="6"/>
        <v>CH04-01. gemini로 디자인 방향 잡기</v>
      </c>
      <c r="K65" s="146"/>
      <c r="L65" s="86"/>
      <c r="M65" s="234">
        <v>46056.0</v>
      </c>
      <c r="N65" s="235"/>
      <c r="O65" s="236"/>
      <c r="P65" s="248"/>
      <c r="Q65" s="86"/>
      <c r="R65" s="238">
        <v>46073.0</v>
      </c>
    </row>
    <row r="66">
      <c r="A66" s="111"/>
      <c r="B66" s="226" t="b">
        <v>1</v>
      </c>
      <c r="C66" s="227" t="s">
        <v>252</v>
      </c>
      <c r="D66" s="228" t="s">
        <v>353</v>
      </c>
      <c r="E66" s="229" t="s">
        <v>183</v>
      </c>
      <c r="F66" s="274" t="s">
        <v>351</v>
      </c>
      <c r="G66" s="231">
        <v>10.0</v>
      </c>
      <c r="H66" s="254"/>
      <c r="I66" s="233" t="b">
        <v>1</v>
      </c>
      <c r="J66" s="159" t="str">
        <f t="shared" si="6"/>
        <v>CH04-02. ai studio로 디자인하기</v>
      </c>
      <c r="K66" s="146"/>
      <c r="L66" s="86"/>
      <c r="M66" s="234">
        <v>46056.0</v>
      </c>
      <c r="N66" s="235"/>
      <c r="O66" s="236"/>
      <c r="P66" s="248"/>
      <c r="Q66" s="86"/>
      <c r="R66" s="238">
        <v>46073.0</v>
      </c>
    </row>
    <row r="67">
      <c r="A67" s="111"/>
      <c r="B67" s="226" t="b">
        <v>1</v>
      </c>
      <c r="C67" s="227" t="s">
        <v>252</v>
      </c>
      <c r="D67" s="228" t="s">
        <v>353</v>
      </c>
      <c r="E67" s="229" t="s">
        <v>189</v>
      </c>
      <c r="F67" s="274" t="s">
        <v>354</v>
      </c>
      <c r="G67" s="231">
        <v>10.0</v>
      </c>
      <c r="H67" s="254"/>
      <c r="I67" s="233" t="b">
        <v>1</v>
      </c>
      <c r="J67" s="159" t="str">
        <f t="shared" si="6"/>
        <v>CH04-03. gemini로 이미지 + 영상 뽑기</v>
      </c>
      <c r="K67" s="146"/>
      <c r="L67" s="86"/>
      <c r="M67" s="234">
        <v>46056.0</v>
      </c>
      <c r="N67" s="235"/>
      <c r="O67" s="236"/>
      <c r="P67" s="248"/>
      <c r="Q67" s="86"/>
      <c r="R67" s="238">
        <v>46073.0</v>
      </c>
    </row>
    <row r="68">
      <c r="A68" s="111"/>
      <c r="B68" s="226" t="b">
        <v>1</v>
      </c>
      <c r="C68" s="227" t="s">
        <v>252</v>
      </c>
      <c r="D68" s="228" t="s">
        <v>353</v>
      </c>
      <c r="E68" s="229" t="s">
        <v>191</v>
      </c>
      <c r="F68" s="274" t="s">
        <v>355</v>
      </c>
      <c r="G68" s="231">
        <v>10.0</v>
      </c>
      <c r="H68" s="254"/>
      <c r="I68" s="233" t="b">
        <v>1</v>
      </c>
      <c r="J68" s="159" t="str">
        <f t="shared" si="6"/>
        <v>CH04-04. Antigravity에서 수정하기</v>
      </c>
      <c r="K68" s="146"/>
      <c r="L68" s="86"/>
      <c r="M68" s="234">
        <v>46056.0</v>
      </c>
      <c r="N68" s="235"/>
      <c r="O68" s="236" t="s">
        <v>356</v>
      </c>
      <c r="P68" s="248"/>
      <c r="Q68" s="86"/>
      <c r="R68" s="238">
        <v>46073.0</v>
      </c>
    </row>
    <row r="69">
      <c r="A69" s="32"/>
      <c r="B69" s="226" t="b">
        <v>1</v>
      </c>
      <c r="C69" s="227" t="s">
        <v>256</v>
      </c>
      <c r="D69" s="228" t="s">
        <v>357</v>
      </c>
      <c r="E69" s="229" t="s">
        <v>181</v>
      </c>
      <c r="F69" s="274" t="s">
        <v>350</v>
      </c>
      <c r="G69" s="231">
        <v>10.0</v>
      </c>
      <c r="H69" s="254"/>
      <c r="I69" s="233" t="b">
        <v>1</v>
      </c>
      <c r="J69" s="159" t="str">
        <f t="shared" si="6"/>
        <v>CH05-01. gemini로 디자인 방향 잡기</v>
      </c>
      <c r="K69" s="146"/>
      <c r="L69" s="86"/>
      <c r="M69" s="234">
        <v>46058.0</v>
      </c>
      <c r="N69" s="235"/>
      <c r="O69" s="236"/>
      <c r="P69" s="248"/>
      <c r="Q69" s="86"/>
      <c r="R69" s="238">
        <v>46073.0</v>
      </c>
    </row>
    <row r="70">
      <c r="A70" s="32"/>
      <c r="B70" s="226" t="b">
        <v>1</v>
      </c>
      <c r="C70" s="227" t="s">
        <v>256</v>
      </c>
      <c r="D70" s="228" t="s">
        <v>357</v>
      </c>
      <c r="E70" s="229" t="s">
        <v>183</v>
      </c>
      <c r="F70" s="274" t="s">
        <v>351</v>
      </c>
      <c r="G70" s="231">
        <v>10.0</v>
      </c>
      <c r="H70" s="254"/>
      <c r="I70" s="233" t="b">
        <v>1</v>
      </c>
      <c r="J70" s="159" t="str">
        <f t="shared" si="6"/>
        <v>CH05-02. ai studio로 디자인하기</v>
      </c>
      <c r="K70" s="146"/>
      <c r="L70" s="86"/>
      <c r="M70" s="234">
        <v>46058.0</v>
      </c>
      <c r="N70" s="235"/>
      <c r="O70" s="236"/>
      <c r="P70" s="248"/>
      <c r="Q70" s="86"/>
      <c r="R70" s="238">
        <v>46073.0</v>
      </c>
    </row>
    <row r="71">
      <c r="A71" s="32"/>
      <c r="B71" s="226" t="b">
        <v>1</v>
      </c>
      <c r="C71" s="227" t="s">
        <v>256</v>
      </c>
      <c r="D71" s="228" t="s">
        <v>357</v>
      </c>
      <c r="E71" s="229" t="s">
        <v>189</v>
      </c>
      <c r="F71" s="274" t="s">
        <v>358</v>
      </c>
      <c r="G71" s="231">
        <v>10.0</v>
      </c>
      <c r="H71" s="254"/>
      <c r="I71" s="233" t="b">
        <v>1</v>
      </c>
      <c r="J71" s="159" t="str">
        <f t="shared" si="6"/>
        <v>CH05-03. Antigravity에서 구체화하기</v>
      </c>
      <c r="K71" s="146"/>
      <c r="L71" s="86"/>
      <c r="M71" s="234">
        <v>46058.0</v>
      </c>
      <c r="N71" s="235"/>
      <c r="O71" s="236"/>
      <c r="P71" s="248"/>
      <c r="Q71" s="86"/>
      <c r="R71" s="238">
        <v>46073.0</v>
      </c>
    </row>
    <row r="72">
      <c r="A72" s="241"/>
      <c r="B72" s="212"/>
      <c r="C72" s="213" t="s">
        <v>359</v>
      </c>
      <c r="D72" s="214" t="s">
        <v>360</v>
      </c>
      <c r="E72" s="270"/>
      <c r="F72" s="259"/>
      <c r="G72" s="260"/>
      <c r="H72" s="261"/>
      <c r="I72" s="262"/>
      <c r="J72" s="220"/>
      <c r="K72" s="221"/>
      <c r="L72" s="86"/>
      <c r="M72" s="253"/>
      <c r="N72" s="223"/>
      <c r="O72" s="224"/>
      <c r="P72" s="212"/>
      <c r="Q72" s="86"/>
      <c r="R72" s="212"/>
    </row>
    <row r="73">
      <c r="A73" s="225"/>
      <c r="B73" s="226" t="b">
        <v>1</v>
      </c>
      <c r="C73" s="276" t="s">
        <v>179</v>
      </c>
      <c r="D73" s="277" t="s">
        <v>361</v>
      </c>
      <c r="E73" s="278" t="s">
        <v>181</v>
      </c>
      <c r="F73" s="230" t="s">
        <v>313</v>
      </c>
      <c r="G73" s="231">
        <v>15.0</v>
      </c>
      <c r="H73" s="232"/>
      <c r="I73" s="266" t="b">
        <v>1</v>
      </c>
      <c r="J73" s="159" t="str">
        <f t="shared" ref="J73:J80" si="7">CONCATENATE(C73,"-",E73, ". ",F73)</f>
        <v>CH01-01. PRD 작성하기</v>
      </c>
      <c r="K73" s="146"/>
      <c r="L73" s="86"/>
      <c r="M73" s="234">
        <v>46058.0</v>
      </c>
      <c r="N73" s="249"/>
      <c r="O73" s="268"/>
      <c r="P73" s="269"/>
      <c r="Q73" s="86"/>
      <c r="R73" s="238">
        <v>46073.0</v>
      </c>
    </row>
    <row r="74">
      <c r="A74" s="225"/>
      <c r="B74" s="279" t="b">
        <v>1</v>
      </c>
      <c r="C74" s="280" t="s">
        <v>179</v>
      </c>
      <c r="D74" s="191" t="s">
        <v>361</v>
      </c>
      <c r="E74" s="278" t="s">
        <v>183</v>
      </c>
      <c r="F74" s="230" t="s">
        <v>362</v>
      </c>
      <c r="G74" s="231">
        <v>10.0</v>
      </c>
      <c r="H74" s="232"/>
      <c r="I74" s="266" t="b">
        <v>1</v>
      </c>
      <c r="J74" s="159" t="str">
        <f t="shared" si="7"/>
        <v>CH01-02. veo3.1로 영상 뽑기</v>
      </c>
      <c r="K74" s="146"/>
      <c r="L74" s="86"/>
      <c r="M74" s="234">
        <v>46058.0</v>
      </c>
      <c r="N74" s="249"/>
      <c r="O74" s="268"/>
      <c r="P74" s="269"/>
      <c r="Q74" s="86"/>
      <c r="R74" s="238">
        <v>46073.0</v>
      </c>
    </row>
    <row r="75">
      <c r="A75" s="225"/>
      <c r="B75" s="279" t="b">
        <v>1</v>
      </c>
      <c r="C75" s="276" t="s">
        <v>179</v>
      </c>
      <c r="D75" s="277" t="s">
        <v>361</v>
      </c>
      <c r="E75" s="278" t="s">
        <v>189</v>
      </c>
      <c r="F75" s="230" t="s">
        <v>363</v>
      </c>
      <c r="G75" s="231">
        <v>15.0</v>
      </c>
      <c r="H75" s="232"/>
      <c r="I75" s="266" t="b">
        <v>1</v>
      </c>
      <c r="J75" s="159" t="str">
        <f t="shared" si="7"/>
        <v>CH01-03. 로직 구현하기</v>
      </c>
      <c r="K75" s="146"/>
      <c r="L75" s="86"/>
      <c r="M75" s="234">
        <v>46058.0</v>
      </c>
      <c r="N75" s="249"/>
      <c r="O75" s="268"/>
      <c r="P75" s="269"/>
      <c r="Q75" s="86"/>
      <c r="R75" s="238">
        <v>46073.0</v>
      </c>
    </row>
    <row r="76">
      <c r="A76" s="225"/>
      <c r="B76" s="279" t="b">
        <v>1</v>
      </c>
      <c r="C76" s="276" t="s">
        <v>179</v>
      </c>
      <c r="D76" s="277" t="s">
        <v>361</v>
      </c>
      <c r="E76" s="229" t="s">
        <v>191</v>
      </c>
      <c r="F76" s="230" t="s">
        <v>364</v>
      </c>
      <c r="G76" s="231">
        <v>20.0</v>
      </c>
      <c r="H76" s="232"/>
      <c r="I76" s="266" t="b">
        <v>1</v>
      </c>
      <c r="J76" s="159" t="str">
        <f t="shared" si="7"/>
        <v>CH01-04. 테스트하고 점검하기</v>
      </c>
      <c r="K76" s="146"/>
      <c r="L76" s="86"/>
      <c r="M76" s="234">
        <v>46058.0</v>
      </c>
      <c r="N76" s="249"/>
      <c r="O76" s="268"/>
      <c r="P76" s="269"/>
      <c r="Q76" s="86"/>
      <c r="R76" s="238">
        <v>46073.0</v>
      </c>
    </row>
    <row r="77">
      <c r="A77" s="225"/>
      <c r="B77" s="279" t="b">
        <v>1</v>
      </c>
      <c r="C77" s="276" t="s">
        <v>195</v>
      </c>
      <c r="D77" s="277" t="s">
        <v>365</v>
      </c>
      <c r="E77" s="278" t="s">
        <v>181</v>
      </c>
      <c r="F77" s="230" t="s">
        <v>313</v>
      </c>
      <c r="G77" s="231">
        <v>15.0</v>
      </c>
      <c r="H77" s="232"/>
      <c r="I77" s="266" t="b">
        <v>1</v>
      </c>
      <c r="J77" s="159" t="str">
        <f t="shared" si="7"/>
        <v>CH02-01. PRD 작성하기</v>
      </c>
      <c r="K77" s="146"/>
      <c r="L77" s="86"/>
      <c r="M77" s="234">
        <v>46059.0</v>
      </c>
      <c r="N77" s="249"/>
      <c r="O77" s="268"/>
      <c r="P77" s="269"/>
      <c r="Q77" s="86"/>
      <c r="R77" s="238">
        <v>46073.0</v>
      </c>
    </row>
    <row r="78">
      <c r="A78" s="225"/>
      <c r="B78" s="279" t="b">
        <v>1</v>
      </c>
      <c r="C78" s="276" t="s">
        <v>195</v>
      </c>
      <c r="D78" s="277" t="s">
        <v>365</v>
      </c>
      <c r="E78" s="278" t="s">
        <v>183</v>
      </c>
      <c r="F78" s="230" t="s">
        <v>366</v>
      </c>
      <c r="G78" s="231">
        <v>15.0</v>
      </c>
      <c r="H78" s="232"/>
      <c r="I78" s="266" t="b">
        <v>1</v>
      </c>
      <c r="J78" s="159" t="str">
        <f t="shared" si="7"/>
        <v>CH02-02. 나노바나나로 이미지 뽑기</v>
      </c>
      <c r="K78" s="146"/>
      <c r="L78" s="86"/>
      <c r="M78" s="234">
        <v>46059.0</v>
      </c>
      <c r="N78" s="249"/>
      <c r="O78" s="268"/>
      <c r="P78" s="269"/>
      <c r="Q78" s="86"/>
      <c r="R78" s="238">
        <v>46073.0</v>
      </c>
    </row>
    <row r="79">
      <c r="A79" s="225"/>
      <c r="B79" s="279" t="b">
        <v>1</v>
      </c>
      <c r="C79" s="276" t="s">
        <v>195</v>
      </c>
      <c r="D79" s="277" t="s">
        <v>365</v>
      </c>
      <c r="E79" s="278" t="s">
        <v>189</v>
      </c>
      <c r="F79" s="230" t="s">
        <v>363</v>
      </c>
      <c r="G79" s="231">
        <v>15.0</v>
      </c>
      <c r="H79" s="232"/>
      <c r="I79" s="266" t="b">
        <v>1</v>
      </c>
      <c r="J79" s="159" t="str">
        <f t="shared" si="7"/>
        <v>CH02-03. 로직 구현하기</v>
      </c>
      <c r="K79" s="146"/>
      <c r="L79" s="86"/>
      <c r="M79" s="234">
        <v>46059.0</v>
      </c>
      <c r="N79" s="249"/>
      <c r="O79" s="268"/>
      <c r="P79" s="269"/>
      <c r="Q79" s="86"/>
      <c r="R79" s="238">
        <v>46073.0</v>
      </c>
    </row>
    <row r="80">
      <c r="A80" s="225"/>
      <c r="B80" s="279" t="b">
        <v>1</v>
      </c>
      <c r="C80" s="276" t="s">
        <v>195</v>
      </c>
      <c r="D80" s="277" t="s">
        <v>365</v>
      </c>
      <c r="E80" s="229" t="s">
        <v>191</v>
      </c>
      <c r="F80" s="230" t="s">
        <v>364</v>
      </c>
      <c r="G80" s="231">
        <v>5.0</v>
      </c>
      <c r="H80" s="232"/>
      <c r="I80" s="266" t="b">
        <v>1</v>
      </c>
      <c r="J80" s="159" t="str">
        <f t="shared" si="7"/>
        <v>CH02-04. 테스트하고 점검하기</v>
      </c>
      <c r="K80" s="146"/>
      <c r="L80" s="86"/>
      <c r="M80" s="234">
        <v>46059.0</v>
      </c>
      <c r="N80" s="249"/>
      <c r="O80" s="268"/>
      <c r="P80" s="269"/>
      <c r="Q80" s="86"/>
      <c r="R80" s="238">
        <v>46073.0</v>
      </c>
    </row>
    <row r="81">
      <c r="A81" s="241"/>
      <c r="B81" s="212"/>
      <c r="C81" s="213" t="s">
        <v>367</v>
      </c>
      <c r="D81" s="214" t="s">
        <v>368</v>
      </c>
      <c r="E81" s="270"/>
      <c r="F81" s="259"/>
      <c r="G81" s="281"/>
      <c r="H81" s="243"/>
      <c r="I81" s="244"/>
      <c r="J81" s="220"/>
      <c r="K81" s="221"/>
      <c r="L81" s="86"/>
      <c r="M81" s="253"/>
      <c r="N81" s="223"/>
      <c r="O81" s="224"/>
      <c r="P81" s="212"/>
      <c r="Q81" s="86"/>
      <c r="R81" s="212"/>
    </row>
    <row r="82">
      <c r="A82" s="137"/>
      <c r="B82" s="226" t="b">
        <v>1</v>
      </c>
      <c r="C82" s="227" t="s">
        <v>179</v>
      </c>
      <c r="D82" s="228" t="s">
        <v>369</v>
      </c>
      <c r="E82" s="278" t="s">
        <v>181</v>
      </c>
      <c r="F82" s="274" t="s">
        <v>370</v>
      </c>
      <c r="G82" s="231">
        <v>10.0</v>
      </c>
      <c r="H82" s="254"/>
      <c r="I82" s="233" t="b">
        <v>1</v>
      </c>
      <c r="J82" s="159" t="str">
        <f t="shared" ref="J82:J85" si="8">CONCATENATE(C82,"-",E82, ". ",F82)</f>
        <v>CH01-01. 데이터베이스란?</v>
      </c>
      <c r="K82" s="146"/>
      <c r="L82" s="86"/>
      <c r="M82" s="234">
        <v>46059.0</v>
      </c>
      <c r="N82" s="235"/>
      <c r="O82" s="236"/>
      <c r="P82" s="248"/>
      <c r="Q82" s="86"/>
      <c r="R82" s="238">
        <v>46073.0</v>
      </c>
    </row>
    <row r="83">
      <c r="A83" s="137"/>
      <c r="B83" s="226" t="b">
        <v>1</v>
      </c>
      <c r="C83" s="227" t="s">
        <v>179</v>
      </c>
      <c r="D83" s="228" t="s">
        <v>369</v>
      </c>
      <c r="E83" s="229" t="s">
        <v>183</v>
      </c>
      <c r="F83" s="274" t="s">
        <v>371</v>
      </c>
      <c r="G83" s="231">
        <v>10.0</v>
      </c>
      <c r="H83" s="254"/>
      <c r="I83" s="233" t="b">
        <v>1</v>
      </c>
      <c r="J83" s="159" t="str">
        <f t="shared" si="8"/>
        <v>CH01-02. Supabase란?</v>
      </c>
      <c r="K83" s="146"/>
      <c r="L83" s="86"/>
      <c r="M83" s="234">
        <v>46059.0</v>
      </c>
      <c r="N83" s="235"/>
      <c r="O83" s="236"/>
      <c r="P83" s="248"/>
      <c r="Q83" s="86"/>
      <c r="R83" s="238">
        <v>46073.0</v>
      </c>
    </row>
    <row r="84">
      <c r="A84" s="137"/>
      <c r="B84" s="226" t="b">
        <v>1</v>
      </c>
      <c r="C84" s="227" t="s">
        <v>195</v>
      </c>
      <c r="D84" s="228" t="s">
        <v>372</v>
      </c>
      <c r="E84" s="278" t="s">
        <v>181</v>
      </c>
      <c r="F84" s="274" t="s">
        <v>373</v>
      </c>
      <c r="G84" s="231">
        <v>20.0</v>
      </c>
      <c r="H84" s="254"/>
      <c r="I84" s="233" t="b">
        <v>1</v>
      </c>
      <c r="J84" s="159" t="str">
        <f t="shared" si="8"/>
        <v>CH02-01. supabase mcp로 프로젝트와 연결하기</v>
      </c>
      <c r="K84" s="146"/>
      <c r="L84" s="86"/>
      <c r="M84" s="234">
        <v>46059.0</v>
      </c>
      <c r="N84" s="235"/>
      <c r="O84" s="236"/>
      <c r="P84" s="248"/>
      <c r="Q84" s="86"/>
      <c r="R84" s="238">
        <v>46073.0</v>
      </c>
    </row>
    <row r="85">
      <c r="A85" s="137"/>
      <c r="B85" s="226" t="b">
        <v>1</v>
      </c>
      <c r="C85" s="227" t="s">
        <v>195</v>
      </c>
      <c r="D85" s="228" t="s">
        <v>372</v>
      </c>
      <c r="E85" s="282" t="s">
        <v>183</v>
      </c>
      <c r="F85" s="274" t="s">
        <v>374</v>
      </c>
      <c r="G85" s="231">
        <v>15.0</v>
      </c>
      <c r="H85" s="254"/>
      <c r="I85" s="233" t="b">
        <v>1</v>
      </c>
      <c r="J85" s="159" t="str">
        <f t="shared" si="8"/>
        <v>CH02-02. 로그인/회원가입 페이지 만들기</v>
      </c>
      <c r="K85" s="146"/>
      <c r="L85" s="86"/>
      <c r="M85" s="234">
        <v>46059.0</v>
      </c>
      <c r="N85" s="235"/>
      <c r="O85" s="236"/>
      <c r="P85" s="248"/>
      <c r="Q85" s="86"/>
      <c r="R85" s="238">
        <v>46073.0</v>
      </c>
    </row>
    <row r="86">
      <c r="A86" s="241"/>
      <c r="B86" s="283"/>
      <c r="C86" s="256" t="s">
        <v>375</v>
      </c>
      <c r="D86" s="257" t="s">
        <v>376</v>
      </c>
      <c r="E86" s="284"/>
      <c r="F86" s="259"/>
      <c r="G86" s="271"/>
      <c r="H86" s="285"/>
      <c r="I86" s="286"/>
      <c r="J86" s="283"/>
      <c r="K86" s="287"/>
      <c r="L86" s="86"/>
      <c r="M86" s="223"/>
      <c r="N86" s="223"/>
      <c r="O86" s="224"/>
      <c r="P86" s="212"/>
      <c r="Q86" s="86"/>
      <c r="R86" s="212"/>
    </row>
    <row r="87">
      <c r="A87" s="137"/>
      <c r="B87" s="288" t="b">
        <v>1</v>
      </c>
      <c r="C87" s="289" t="s">
        <v>179</v>
      </c>
      <c r="D87" s="277" t="s">
        <v>377</v>
      </c>
      <c r="E87" s="229" t="s">
        <v>181</v>
      </c>
      <c r="F87" s="290" t="s">
        <v>378</v>
      </c>
      <c r="G87" s="231">
        <v>5.0</v>
      </c>
      <c r="H87" s="232"/>
      <c r="I87" s="266" t="b">
        <v>1</v>
      </c>
      <c r="J87" s="159" t="str">
        <f t="shared" ref="J87:J89" si="9">CONCATENATE(C87,"-",E87, ". ",F87)</f>
        <v>CH01-01. 서비스 배포란?</v>
      </c>
      <c r="K87" s="146"/>
      <c r="L87" s="86"/>
      <c r="M87" s="234">
        <v>46059.0</v>
      </c>
      <c r="N87" s="249"/>
      <c r="O87" s="268"/>
      <c r="P87" s="269"/>
      <c r="Q87" s="86"/>
      <c r="R87" s="238">
        <v>46073.0</v>
      </c>
    </row>
    <row r="88">
      <c r="A88" s="137"/>
      <c r="B88" s="288" t="b">
        <v>1</v>
      </c>
      <c r="C88" s="289" t="s">
        <v>179</v>
      </c>
      <c r="D88" s="277" t="s">
        <v>377</v>
      </c>
      <c r="E88" s="229" t="s">
        <v>183</v>
      </c>
      <c r="F88" s="290" t="s">
        <v>379</v>
      </c>
      <c r="G88" s="231">
        <v>5.0</v>
      </c>
      <c r="H88" s="232"/>
      <c r="I88" s="266" t="b">
        <v>1</v>
      </c>
      <c r="J88" s="159" t="str">
        <f t="shared" si="9"/>
        <v>CH01-02. Vercel이란?</v>
      </c>
      <c r="K88" s="146"/>
      <c r="L88" s="86"/>
      <c r="M88" s="234">
        <v>46059.0</v>
      </c>
      <c r="N88" s="249"/>
      <c r="O88" s="268"/>
      <c r="P88" s="269"/>
      <c r="Q88" s="86"/>
      <c r="R88" s="238">
        <v>46073.0</v>
      </c>
    </row>
    <row r="89">
      <c r="A89" s="137"/>
      <c r="B89" s="288" t="b">
        <v>1</v>
      </c>
      <c r="C89" s="289" t="s">
        <v>179</v>
      </c>
      <c r="D89" s="277" t="s">
        <v>377</v>
      </c>
      <c r="E89" s="229" t="s">
        <v>189</v>
      </c>
      <c r="F89" s="290" t="s">
        <v>380</v>
      </c>
      <c r="G89" s="231">
        <v>20.0</v>
      </c>
      <c r="H89" s="232"/>
      <c r="I89" s="266" t="b">
        <v>1</v>
      </c>
      <c r="J89" s="159" t="str">
        <f t="shared" si="9"/>
        <v>CH01-03. 랜딩페이지 프로젝트 배포해보기</v>
      </c>
      <c r="K89" s="146"/>
      <c r="L89" s="86"/>
      <c r="M89" s="234">
        <v>46059.0</v>
      </c>
      <c r="N89" s="249"/>
      <c r="O89" s="268"/>
      <c r="P89" s="269"/>
      <c r="Q89" s="86"/>
      <c r="R89" s="238">
        <v>46073.0</v>
      </c>
    </row>
    <row r="90">
      <c r="A90" s="241"/>
      <c r="B90" s="283"/>
      <c r="C90" s="256" t="s">
        <v>381</v>
      </c>
      <c r="D90" s="257" t="s">
        <v>382</v>
      </c>
      <c r="E90" s="258"/>
      <c r="F90" s="259"/>
      <c r="G90" s="271"/>
      <c r="H90" s="285"/>
      <c r="I90" s="286"/>
      <c r="J90" s="283"/>
      <c r="K90" s="287"/>
      <c r="L90" s="86"/>
      <c r="M90" s="223"/>
      <c r="N90" s="223"/>
      <c r="O90" s="224"/>
      <c r="P90" s="212"/>
      <c r="Q90" s="86"/>
      <c r="R90" s="212"/>
    </row>
    <row r="91">
      <c r="A91" s="137"/>
      <c r="B91" s="288" t="b">
        <v>1</v>
      </c>
      <c r="C91" s="291" t="s">
        <v>179</v>
      </c>
      <c r="D91" s="292" t="s">
        <v>383</v>
      </c>
      <c r="E91" s="282" t="s">
        <v>181</v>
      </c>
      <c r="F91" s="230" t="s">
        <v>384</v>
      </c>
      <c r="G91" s="231">
        <v>5.0</v>
      </c>
      <c r="H91" s="232"/>
      <c r="I91" s="266" t="b">
        <v>1</v>
      </c>
      <c r="J91" s="159" t="str">
        <f t="shared" ref="J91:J95" si="10">CONCATENATE(C91,"-",E91, ". ",F91)</f>
        <v>CH01-01. CRM이란?</v>
      </c>
      <c r="K91" s="146"/>
      <c r="L91" s="86"/>
      <c r="M91" s="234">
        <v>46059.0</v>
      </c>
      <c r="N91" s="249"/>
      <c r="O91" s="268"/>
      <c r="P91" s="269"/>
      <c r="Q91" s="86"/>
      <c r="R91" s="238">
        <v>46073.0</v>
      </c>
    </row>
    <row r="92">
      <c r="A92" s="137"/>
      <c r="B92" s="288" t="b">
        <v>1</v>
      </c>
      <c r="C92" s="291" t="s">
        <v>179</v>
      </c>
      <c r="D92" s="292" t="s">
        <v>383</v>
      </c>
      <c r="E92" s="293" t="s">
        <v>183</v>
      </c>
      <c r="F92" s="230" t="s">
        <v>385</v>
      </c>
      <c r="G92" s="231">
        <v>10.0</v>
      </c>
      <c r="H92" s="232"/>
      <c r="I92" s="266" t="b">
        <v>1</v>
      </c>
      <c r="J92" s="159" t="str">
        <f t="shared" si="10"/>
        <v>CH01-02. Resend란?</v>
      </c>
      <c r="K92" s="146"/>
      <c r="L92" s="86"/>
      <c r="M92" s="234">
        <v>46059.0</v>
      </c>
      <c r="N92" s="249"/>
      <c r="O92" s="268"/>
      <c r="P92" s="269"/>
      <c r="Q92" s="86"/>
      <c r="R92" s="238">
        <v>46073.0</v>
      </c>
    </row>
    <row r="93">
      <c r="A93" s="137"/>
      <c r="B93" s="288" t="b">
        <v>1</v>
      </c>
      <c r="C93" s="291" t="s">
        <v>195</v>
      </c>
      <c r="D93" s="292" t="s">
        <v>382</v>
      </c>
      <c r="E93" s="282" t="s">
        <v>181</v>
      </c>
      <c r="F93" s="230" t="s">
        <v>313</v>
      </c>
      <c r="G93" s="231">
        <v>10.0</v>
      </c>
      <c r="H93" s="232"/>
      <c r="I93" s="266" t="b">
        <v>1</v>
      </c>
      <c r="J93" s="159" t="str">
        <f t="shared" si="10"/>
        <v>CH02-01. PRD 작성하기</v>
      </c>
      <c r="K93" s="146"/>
      <c r="L93" s="86"/>
      <c r="M93" s="234">
        <v>46059.0</v>
      </c>
      <c r="N93" s="249"/>
      <c r="O93" s="268"/>
      <c r="P93" s="269"/>
      <c r="Q93" s="86"/>
      <c r="R93" s="238">
        <v>46073.0</v>
      </c>
    </row>
    <row r="94">
      <c r="A94" s="137"/>
      <c r="B94" s="279" t="b">
        <v>1</v>
      </c>
      <c r="C94" s="291" t="s">
        <v>195</v>
      </c>
      <c r="D94" s="292" t="s">
        <v>382</v>
      </c>
      <c r="E94" s="293" t="s">
        <v>183</v>
      </c>
      <c r="F94" s="230" t="s">
        <v>363</v>
      </c>
      <c r="G94" s="231">
        <v>15.0</v>
      </c>
      <c r="H94" s="232"/>
      <c r="I94" s="247" t="b">
        <v>1</v>
      </c>
      <c r="J94" s="159" t="str">
        <f t="shared" si="10"/>
        <v>CH02-02. 로직 구현하기</v>
      </c>
      <c r="K94" s="146"/>
      <c r="L94" s="86"/>
      <c r="M94" s="234">
        <v>46060.0</v>
      </c>
      <c r="N94" s="249"/>
      <c r="O94" s="268" t="s">
        <v>386</v>
      </c>
      <c r="P94" s="269"/>
      <c r="Q94" s="86"/>
      <c r="R94" s="238">
        <v>46073.0</v>
      </c>
    </row>
    <row r="95">
      <c r="A95" s="137"/>
      <c r="B95" s="279" t="b">
        <v>1</v>
      </c>
      <c r="C95" s="291" t="s">
        <v>195</v>
      </c>
      <c r="D95" s="292" t="s">
        <v>382</v>
      </c>
      <c r="E95" s="229" t="s">
        <v>189</v>
      </c>
      <c r="F95" s="230" t="s">
        <v>387</v>
      </c>
      <c r="G95" s="231">
        <v>15.0</v>
      </c>
      <c r="H95" s="232"/>
      <c r="I95" s="247" t="b">
        <v>1</v>
      </c>
      <c r="J95" s="159" t="str">
        <f t="shared" si="10"/>
        <v>CH02-03. 테스트하고 배포하기</v>
      </c>
      <c r="K95" s="146"/>
      <c r="L95" s="86"/>
      <c r="M95" s="294"/>
      <c r="N95" s="249"/>
      <c r="O95" s="268" t="s">
        <v>388</v>
      </c>
      <c r="P95" s="269"/>
      <c r="Q95" s="86"/>
      <c r="R95" s="238">
        <v>46073.0</v>
      </c>
    </row>
    <row r="96">
      <c r="A96" s="241"/>
      <c r="B96" s="212"/>
      <c r="C96" s="295" t="s">
        <v>389</v>
      </c>
      <c r="D96" s="296" t="s">
        <v>390</v>
      </c>
      <c r="E96" s="297"/>
      <c r="F96" s="259"/>
      <c r="G96" s="281"/>
      <c r="H96" s="252"/>
      <c r="I96" s="212"/>
      <c r="J96" s="220"/>
      <c r="K96" s="221"/>
      <c r="L96" s="86"/>
      <c r="M96" s="253"/>
      <c r="N96" s="223"/>
      <c r="O96" s="224"/>
      <c r="P96" s="212"/>
      <c r="Q96" s="86"/>
      <c r="R96" s="212"/>
    </row>
    <row r="97">
      <c r="A97" s="137"/>
      <c r="B97" s="226" t="b">
        <v>1</v>
      </c>
      <c r="C97" s="227" t="s">
        <v>179</v>
      </c>
      <c r="D97" s="228" t="s">
        <v>391</v>
      </c>
      <c r="E97" s="229" t="s">
        <v>181</v>
      </c>
      <c r="F97" s="274" t="s">
        <v>392</v>
      </c>
      <c r="G97" s="231">
        <v>20.0</v>
      </c>
      <c r="H97" s="254"/>
      <c r="I97" s="233" t="b">
        <v>1</v>
      </c>
      <c r="J97" s="159" t="str">
        <f t="shared" ref="J97:J105" si="11">CONCATENATE(C97,"-",E97, ". ",F97)</f>
        <v>CH01-01. prd 작성하기</v>
      </c>
      <c r="K97" s="146"/>
      <c r="L97" s="86"/>
      <c r="M97" s="234">
        <v>46060.0</v>
      </c>
      <c r="N97" s="235"/>
      <c r="O97" s="236"/>
      <c r="P97" s="248"/>
      <c r="Q97" s="86"/>
      <c r="R97" s="238">
        <v>46073.0</v>
      </c>
    </row>
    <row r="98">
      <c r="A98" s="137"/>
      <c r="B98" s="226" t="b">
        <v>1</v>
      </c>
      <c r="C98" s="227" t="s">
        <v>179</v>
      </c>
      <c r="D98" s="228" t="s">
        <v>391</v>
      </c>
      <c r="E98" s="229" t="s">
        <v>183</v>
      </c>
      <c r="F98" s="274" t="s">
        <v>393</v>
      </c>
      <c r="G98" s="231">
        <v>25.0</v>
      </c>
      <c r="H98" s="254"/>
      <c r="I98" s="233" t="b">
        <v>1</v>
      </c>
      <c r="J98" s="159" t="str">
        <f t="shared" si="11"/>
        <v>CH01-02. 프론트엔드와 백엔드 개발하기</v>
      </c>
      <c r="K98" s="146"/>
      <c r="L98" s="86"/>
      <c r="M98" s="234">
        <v>46060.0</v>
      </c>
      <c r="N98" s="235"/>
      <c r="O98" s="236" t="s">
        <v>394</v>
      </c>
      <c r="P98" s="248"/>
      <c r="Q98" s="86"/>
      <c r="R98" s="238">
        <v>46073.0</v>
      </c>
    </row>
    <row r="99">
      <c r="A99" s="137"/>
      <c r="B99" s="226" t="b">
        <v>1</v>
      </c>
      <c r="C99" s="227" t="s">
        <v>179</v>
      </c>
      <c r="D99" s="228" t="s">
        <v>391</v>
      </c>
      <c r="E99" s="229" t="s">
        <v>189</v>
      </c>
      <c r="F99" s="274" t="s">
        <v>395</v>
      </c>
      <c r="G99" s="231">
        <v>6.0</v>
      </c>
      <c r="H99" s="254"/>
      <c r="I99" s="233" t="b">
        <v>1</v>
      </c>
      <c r="J99" s="159" t="str">
        <f t="shared" si="11"/>
        <v>CH01-03. 프론트엔드 테스트 및 점검하기</v>
      </c>
      <c r="K99" s="146"/>
      <c r="L99" s="86"/>
      <c r="M99" s="234">
        <v>46060.0</v>
      </c>
      <c r="N99" s="235"/>
      <c r="O99" s="236" t="s">
        <v>396</v>
      </c>
      <c r="P99" s="248"/>
      <c r="Q99" s="86"/>
      <c r="R99" s="238">
        <v>46073.0</v>
      </c>
    </row>
    <row r="100">
      <c r="A100" s="137"/>
      <c r="B100" s="226" t="b">
        <v>1</v>
      </c>
      <c r="C100" s="227" t="s">
        <v>195</v>
      </c>
      <c r="D100" s="228" t="s">
        <v>368</v>
      </c>
      <c r="E100" s="229" t="s">
        <v>181</v>
      </c>
      <c r="F100" s="274" t="s">
        <v>397</v>
      </c>
      <c r="G100" s="231">
        <v>20.0</v>
      </c>
      <c r="H100" s="254"/>
      <c r="I100" s="233" t="b">
        <v>1</v>
      </c>
      <c r="J100" s="159" t="str">
        <f t="shared" si="11"/>
        <v>CH02-01. 백엔드 테스트 및 점검하기</v>
      </c>
      <c r="K100" s="146"/>
      <c r="L100" s="86"/>
      <c r="M100" s="234">
        <v>46060.0</v>
      </c>
      <c r="N100" s="235"/>
      <c r="O100" s="236" t="s">
        <v>398</v>
      </c>
      <c r="P100" s="248"/>
      <c r="Q100" s="86"/>
      <c r="R100" s="238">
        <v>46073.0</v>
      </c>
    </row>
    <row r="101">
      <c r="A101" s="137"/>
      <c r="B101" s="226" t="b">
        <v>1</v>
      </c>
      <c r="C101" s="227" t="s">
        <v>195</v>
      </c>
      <c r="D101" s="228" t="s">
        <v>368</v>
      </c>
      <c r="E101" s="229" t="s">
        <v>183</v>
      </c>
      <c r="F101" s="274" t="s">
        <v>399</v>
      </c>
      <c r="G101" s="231">
        <v>15.0</v>
      </c>
      <c r="H101" s="254"/>
      <c r="I101" s="233" t="b">
        <v>1</v>
      </c>
      <c r="J101" s="159" t="str">
        <f t="shared" si="11"/>
        <v>CH02-02. 소셜 로그인 연동하기</v>
      </c>
      <c r="K101" s="146"/>
      <c r="L101" s="86"/>
      <c r="M101" s="294"/>
      <c r="N101" s="235"/>
      <c r="O101" s="236" t="s">
        <v>400</v>
      </c>
      <c r="P101" s="248"/>
      <c r="Q101" s="86"/>
      <c r="R101" s="238">
        <v>46073.0</v>
      </c>
    </row>
    <row r="102">
      <c r="A102" s="137"/>
      <c r="B102" s="226" t="b">
        <v>1</v>
      </c>
      <c r="C102" s="227" t="s">
        <v>195</v>
      </c>
      <c r="D102" s="228" t="s">
        <v>368</v>
      </c>
      <c r="E102" s="229" t="s">
        <v>189</v>
      </c>
      <c r="F102" s="274" t="s">
        <v>401</v>
      </c>
      <c r="G102" s="231">
        <v>20.0</v>
      </c>
      <c r="H102" s="254"/>
      <c r="I102" s="233" t="b">
        <v>1</v>
      </c>
      <c r="J102" s="159" t="str">
        <f t="shared" si="11"/>
        <v>CH02-03. 관리자 대시보드 점검하기</v>
      </c>
      <c r="K102" s="146"/>
      <c r="L102" s="86"/>
      <c r="M102" s="294"/>
      <c r="N102" s="235"/>
      <c r="O102" s="236"/>
      <c r="P102" s="248"/>
      <c r="Q102" s="86"/>
      <c r="R102" s="238">
        <v>46073.0</v>
      </c>
    </row>
    <row r="103">
      <c r="A103" s="137"/>
      <c r="B103" s="226" t="b">
        <v>1</v>
      </c>
      <c r="C103" s="227" t="s">
        <v>200</v>
      </c>
      <c r="D103" s="228" t="s">
        <v>402</v>
      </c>
      <c r="E103" s="229" t="s">
        <v>181</v>
      </c>
      <c r="F103" s="274" t="s">
        <v>403</v>
      </c>
      <c r="G103" s="231">
        <v>15.0</v>
      </c>
      <c r="H103" s="254"/>
      <c r="I103" s="233" t="b">
        <v>1</v>
      </c>
      <c r="J103" s="159" t="str">
        <f t="shared" si="11"/>
        <v>CH03-01. 결제 연결 및 테스트하기</v>
      </c>
      <c r="K103" s="146"/>
      <c r="L103" s="86"/>
      <c r="M103" s="294"/>
      <c r="N103" s="235"/>
      <c r="O103" s="236"/>
      <c r="P103" s="248"/>
      <c r="Q103" s="86"/>
      <c r="R103" s="238">
        <v>46073.0</v>
      </c>
    </row>
    <row r="104">
      <c r="A104" s="137"/>
      <c r="B104" s="226" t="b">
        <v>1</v>
      </c>
      <c r="C104" s="227" t="s">
        <v>200</v>
      </c>
      <c r="D104" s="228" t="s">
        <v>402</v>
      </c>
      <c r="E104" s="229" t="s">
        <v>183</v>
      </c>
      <c r="F104" s="274" t="s">
        <v>404</v>
      </c>
      <c r="G104" s="231">
        <v>15.0</v>
      </c>
      <c r="H104" s="254"/>
      <c r="I104" s="233" t="b">
        <v>1</v>
      </c>
      <c r="J104" s="159" t="str">
        <f t="shared" si="11"/>
        <v>CH03-02. 결제 이메일 연결 및 테스트하기</v>
      </c>
      <c r="K104" s="146"/>
      <c r="L104" s="86"/>
      <c r="M104" s="294"/>
      <c r="N104" s="235"/>
      <c r="O104" s="298" t="s">
        <v>405</v>
      </c>
      <c r="P104" s="248"/>
      <c r="Q104" s="86"/>
      <c r="R104" s="238">
        <v>46073.0</v>
      </c>
    </row>
    <row r="105">
      <c r="A105" s="137"/>
      <c r="B105" s="226" t="b">
        <v>1</v>
      </c>
      <c r="C105" s="227" t="s">
        <v>200</v>
      </c>
      <c r="D105" s="228" t="s">
        <v>402</v>
      </c>
      <c r="E105" s="229" t="s">
        <v>189</v>
      </c>
      <c r="F105" s="274" t="s">
        <v>406</v>
      </c>
      <c r="G105" s="231">
        <v>15.0</v>
      </c>
      <c r="H105" s="254"/>
      <c r="I105" s="233" t="b">
        <v>1</v>
      </c>
      <c r="J105" s="159" t="str">
        <f t="shared" si="11"/>
        <v>CH03-03. 배포 및 최종 점검</v>
      </c>
      <c r="K105" s="146"/>
      <c r="L105" s="86"/>
      <c r="M105" s="294"/>
      <c r="N105" s="235"/>
      <c r="O105" s="298" t="s">
        <v>407</v>
      </c>
      <c r="P105" s="248"/>
      <c r="Q105" s="86"/>
      <c r="R105" s="238">
        <v>46073.0</v>
      </c>
    </row>
    <row r="106">
      <c r="A106" s="241"/>
      <c r="B106" s="212"/>
      <c r="C106" s="213" t="s">
        <v>408</v>
      </c>
      <c r="D106" s="214" t="s">
        <v>409</v>
      </c>
      <c r="E106" s="270"/>
      <c r="F106" s="259"/>
      <c r="G106" s="281"/>
      <c r="H106" s="243"/>
      <c r="I106" s="244"/>
      <c r="J106" s="220"/>
      <c r="K106" s="221"/>
      <c r="L106" s="86"/>
      <c r="M106" s="253"/>
      <c r="N106" s="223"/>
      <c r="O106" s="224"/>
      <c r="P106" s="212"/>
      <c r="Q106" s="86"/>
      <c r="R106" s="212"/>
    </row>
    <row r="107">
      <c r="A107" s="137"/>
      <c r="B107" s="226" t="b">
        <v>1</v>
      </c>
      <c r="C107" s="227" t="s">
        <v>179</v>
      </c>
      <c r="D107" s="228" t="s">
        <v>410</v>
      </c>
      <c r="E107" s="229" t="s">
        <v>181</v>
      </c>
      <c r="F107" s="274" t="s">
        <v>411</v>
      </c>
      <c r="G107" s="231">
        <v>5.0</v>
      </c>
      <c r="H107" s="254"/>
      <c r="I107" s="233" t="b">
        <v>1</v>
      </c>
      <c r="J107" s="159" t="str">
        <f t="shared" ref="J107:J115" si="12">CONCATENATE(C107,"-",E107, ". ",F107)</f>
        <v>CH01-01. Gabia에서 도메인 구입하기</v>
      </c>
      <c r="K107" s="146"/>
      <c r="L107" s="86"/>
      <c r="M107" s="294"/>
      <c r="N107" s="235"/>
      <c r="O107" s="236"/>
      <c r="P107" s="248"/>
      <c r="Q107" s="86"/>
      <c r="R107" s="238">
        <v>46073.0</v>
      </c>
    </row>
    <row r="108">
      <c r="A108" s="137"/>
      <c r="B108" s="226" t="b">
        <v>1</v>
      </c>
      <c r="C108" s="227" t="s">
        <v>179</v>
      </c>
      <c r="D108" s="228" t="s">
        <v>410</v>
      </c>
      <c r="E108" s="229" t="s">
        <v>183</v>
      </c>
      <c r="F108" s="274" t="s">
        <v>412</v>
      </c>
      <c r="G108" s="231">
        <v>10.0</v>
      </c>
      <c r="H108" s="254"/>
      <c r="I108" s="233" t="b">
        <v>1</v>
      </c>
      <c r="J108" s="159" t="str">
        <f t="shared" si="12"/>
        <v>CH01-02. 내 프로젝트와 연결하기</v>
      </c>
      <c r="K108" s="146"/>
      <c r="L108" s="86"/>
      <c r="M108" s="294"/>
      <c r="N108" s="235"/>
      <c r="O108" s="236"/>
      <c r="P108" s="248"/>
      <c r="Q108" s="86"/>
      <c r="R108" s="238">
        <v>46073.0</v>
      </c>
    </row>
    <row r="109">
      <c r="A109" s="137"/>
      <c r="B109" s="226" t="b">
        <v>1</v>
      </c>
      <c r="C109" s="227" t="s">
        <v>179</v>
      </c>
      <c r="D109" s="228" t="s">
        <v>410</v>
      </c>
      <c r="E109" s="229" t="s">
        <v>189</v>
      </c>
      <c r="F109" s="274" t="s">
        <v>413</v>
      </c>
      <c r="G109" s="231">
        <v>5.0</v>
      </c>
      <c r="H109" s="254"/>
      <c r="I109" s="233" t="b">
        <v>1</v>
      </c>
      <c r="J109" s="159" t="str">
        <f t="shared" si="12"/>
        <v>CH01-03. 도메인 설정 후 변경 사항 수정하기</v>
      </c>
      <c r="K109" s="146"/>
      <c r="L109" s="86"/>
      <c r="M109" s="294"/>
      <c r="N109" s="235"/>
      <c r="O109" s="236"/>
      <c r="P109" s="248"/>
      <c r="Q109" s="86"/>
      <c r="R109" s="238">
        <v>46073.0</v>
      </c>
    </row>
    <row r="110">
      <c r="A110" s="137"/>
      <c r="B110" s="226" t="b">
        <v>1</v>
      </c>
      <c r="C110" s="227" t="s">
        <v>195</v>
      </c>
      <c r="D110" s="228" t="s">
        <v>414</v>
      </c>
      <c r="E110" s="229" t="s">
        <v>181</v>
      </c>
      <c r="F110" s="274" t="s">
        <v>415</v>
      </c>
      <c r="G110" s="231">
        <v>5.0</v>
      </c>
      <c r="H110" s="254"/>
      <c r="I110" s="233" t="b">
        <v>1</v>
      </c>
      <c r="J110" s="159" t="str">
        <f t="shared" si="12"/>
        <v>CH02-01. seo란?</v>
      </c>
      <c r="K110" s="146"/>
      <c r="L110" s="86"/>
      <c r="M110" s="294"/>
      <c r="N110" s="235"/>
      <c r="O110" s="236"/>
      <c r="P110" s="248"/>
      <c r="Q110" s="86"/>
      <c r="R110" s="238">
        <v>46073.0</v>
      </c>
    </row>
    <row r="111">
      <c r="A111" s="137"/>
      <c r="B111" s="226" t="b">
        <v>1</v>
      </c>
      <c r="C111" s="227" t="s">
        <v>195</v>
      </c>
      <c r="D111" s="228" t="s">
        <v>414</v>
      </c>
      <c r="E111" s="229" t="s">
        <v>183</v>
      </c>
      <c r="F111" s="274" t="s">
        <v>416</v>
      </c>
      <c r="G111" s="231">
        <v>5.0</v>
      </c>
      <c r="H111" s="254"/>
      <c r="I111" s="233" t="b">
        <v>1</v>
      </c>
      <c r="J111" s="159" t="str">
        <f t="shared" si="12"/>
        <v>CH02-02. ai에게 seo 자동화 시키기</v>
      </c>
      <c r="K111" s="146"/>
      <c r="L111" s="86"/>
      <c r="M111" s="294"/>
      <c r="N111" s="235"/>
      <c r="O111" s="236"/>
      <c r="P111" s="248"/>
      <c r="Q111" s="86"/>
      <c r="R111" s="238">
        <v>46073.0</v>
      </c>
    </row>
    <row r="112">
      <c r="A112" s="137"/>
      <c r="B112" s="226" t="b">
        <v>1</v>
      </c>
      <c r="C112" s="227" t="s">
        <v>195</v>
      </c>
      <c r="D112" s="228" t="s">
        <v>414</v>
      </c>
      <c r="E112" s="229" t="s">
        <v>189</v>
      </c>
      <c r="F112" s="274" t="s">
        <v>417</v>
      </c>
      <c r="G112" s="231">
        <v>15.0</v>
      </c>
      <c r="H112" s="254"/>
      <c r="I112" s="233" t="b">
        <v>1</v>
      </c>
      <c r="J112" s="159" t="str">
        <f t="shared" si="12"/>
        <v>CH02-03. 내 사이트 등록하기</v>
      </c>
      <c r="K112" s="146"/>
      <c r="L112" s="86"/>
      <c r="M112" s="294"/>
      <c r="N112" s="235"/>
      <c r="O112" s="236"/>
      <c r="P112" s="248"/>
      <c r="Q112" s="86"/>
      <c r="R112" s="238">
        <v>46073.0</v>
      </c>
    </row>
    <row r="113">
      <c r="A113" s="137"/>
      <c r="B113" s="226" t="b">
        <v>1</v>
      </c>
      <c r="C113" s="227" t="s">
        <v>200</v>
      </c>
      <c r="D113" s="228" t="s">
        <v>418</v>
      </c>
      <c r="E113" s="229" t="s">
        <v>181</v>
      </c>
      <c r="F113" s="274" t="s">
        <v>419</v>
      </c>
      <c r="G113" s="231">
        <v>10.0</v>
      </c>
      <c r="H113" s="254"/>
      <c r="I113" s="233" t="b">
        <v>1</v>
      </c>
      <c r="J113" s="159" t="str">
        <f t="shared" si="12"/>
        <v>CH03-01. ga4란?</v>
      </c>
      <c r="K113" s="146"/>
      <c r="L113" s="86"/>
      <c r="M113" s="294"/>
      <c r="N113" s="235"/>
      <c r="O113" s="236"/>
      <c r="P113" s="248"/>
      <c r="Q113" s="86"/>
      <c r="R113" s="238">
        <v>46073.0</v>
      </c>
    </row>
    <row r="114">
      <c r="A114" s="137"/>
      <c r="B114" s="226" t="b">
        <v>1</v>
      </c>
      <c r="C114" s="227" t="s">
        <v>200</v>
      </c>
      <c r="D114" s="228" t="s">
        <v>418</v>
      </c>
      <c r="E114" s="229" t="s">
        <v>183</v>
      </c>
      <c r="F114" s="274" t="s">
        <v>420</v>
      </c>
      <c r="G114" s="231">
        <v>15.0</v>
      </c>
      <c r="H114" s="254"/>
      <c r="I114" s="233" t="b">
        <v>1</v>
      </c>
      <c r="J114" s="159" t="str">
        <f t="shared" si="12"/>
        <v>CH03-02. ga4를 내 대시보드에 연동하기</v>
      </c>
      <c r="K114" s="146"/>
      <c r="L114" s="86"/>
      <c r="M114" s="294"/>
      <c r="N114" s="235"/>
      <c r="O114" s="236"/>
      <c r="P114" s="248"/>
      <c r="Q114" s="86"/>
      <c r="R114" s="238">
        <v>46073.0</v>
      </c>
    </row>
    <row r="115">
      <c r="A115" s="137"/>
      <c r="B115" s="226" t="b">
        <v>1</v>
      </c>
      <c r="C115" s="227" t="s">
        <v>252</v>
      </c>
      <c r="D115" s="228" t="s">
        <v>421</v>
      </c>
      <c r="E115" s="229" t="s">
        <v>181</v>
      </c>
      <c r="F115" s="274" t="s">
        <v>422</v>
      </c>
      <c r="G115" s="231">
        <v>10.0</v>
      </c>
      <c r="H115" s="254"/>
      <c r="I115" s="233" t="b">
        <v>1</v>
      </c>
      <c r="J115" s="159" t="str">
        <f t="shared" si="12"/>
        <v>CH04-01. Sentry를 이용해 에러 확인 자동화하기</v>
      </c>
      <c r="K115" s="146"/>
      <c r="L115" s="86"/>
      <c r="M115" s="294"/>
      <c r="N115" s="235"/>
      <c r="O115" s="236"/>
      <c r="P115" s="248"/>
      <c r="Q115" s="86"/>
      <c r="R115" s="238">
        <v>46073.0</v>
      </c>
    </row>
  </sheetData>
  <mergeCells count="120">
    <mergeCell ref="B1:D1"/>
    <mergeCell ref="E1:H3"/>
    <mergeCell ref="N1:P1"/>
    <mergeCell ref="C2:D2"/>
    <mergeCell ref="N2:P2"/>
    <mergeCell ref="C3:D3"/>
    <mergeCell ref="N3:P3"/>
    <mergeCell ref="C5:H5"/>
    <mergeCell ref="J5:K5"/>
    <mergeCell ref="N5:P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94:K94"/>
    <mergeCell ref="J95:K95"/>
    <mergeCell ref="J96:K96"/>
    <mergeCell ref="J97:K97"/>
    <mergeCell ref="J98:K98"/>
    <mergeCell ref="J99:K99"/>
    <mergeCell ref="J100:K100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01:K101"/>
    <mergeCell ref="J102:K102"/>
    <mergeCell ref="J103:K103"/>
    <mergeCell ref="J104:K104"/>
    <mergeCell ref="J105:K105"/>
    <mergeCell ref="J106:K106"/>
    <mergeCell ref="J107:K107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</mergeCells>
  <dataValidations>
    <dataValidation type="decimal" operator="greaterThanOrEqual" allowBlank="1" showDropDown="1" showErrorMessage="1" sqref="G7:I7 G8:H15 G16:I16 G17:H22 G23:I23 G24:H27 G28:I28 G29:H35 G36:I36 G37:H53 G54:I54 G55:H71 G72:I72 G73:H80 G81:I81 G82:H85 G86:J86 G87:H89 G90:J90 G91:H95 G96:I96 G97:H105 G106:I106 G107:H115 M7:N115 R7:R115">
      <formula1>0.0</formula1>
    </dataValidation>
  </dataValidations>
  <hyperlinks>
    <hyperlink r:id="rId2" ref="K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.0"/>
    <col customWidth="1" min="2" max="2" width="10.5"/>
    <col customWidth="1" min="3" max="3" width="9.75"/>
    <col customWidth="1" min="4" max="4" width="51.75"/>
    <col customWidth="1" min="5" max="5" width="9.63"/>
    <col customWidth="1" min="6" max="6" width="79.38"/>
    <col customWidth="1" min="7" max="8" width="9.63"/>
    <col customWidth="1" min="9" max="9" width="7.88"/>
    <col customWidth="1" min="10" max="10" width="13.0"/>
    <col customWidth="1" min="11" max="11" width="59.75"/>
    <col customWidth="1" min="12" max="12" width="2.5"/>
    <col customWidth="1" min="13" max="14" width="9.63"/>
    <col customWidth="1" min="15" max="15" width="68.13"/>
    <col customWidth="1" min="16" max="16" width="13.75"/>
    <col customWidth="1" min="17" max="17" width="3.13"/>
    <col customWidth="1" min="18" max="18" width="13.75"/>
  </cols>
  <sheetData>
    <row r="1" ht="36.0" customHeight="1">
      <c r="A1" s="78">
        <v>1.0</v>
      </c>
      <c r="B1" s="79" t="s">
        <v>137</v>
      </c>
      <c r="E1" s="199" t="s">
        <v>423</v>
      </c>
      <c r="F1" s="81"/>
      <c r="G1" s="81"/>
      <c r="H1" s="82"/>
      <c r="I1" s="299"/>
      <c r="J1" s="84" t="s">
        <v>139</v>
      </c>
      <c r="K1" s="85" t="s">
        <v>424</v>
      </c>
      <c r="L1" s="86"/>
      <c r="M1" s="87" t="s">
        <v>141</v>
      </c>
      <c r="N1" s="101"/>
      <c r="O1" s="89"/>
      <c r="P1" s="90"/>
      <c r="Q1" s="86"/>
      <c r="R1" s="91"/>
    </row>
    <row r="2" ht="36.0" customHeight="1">
      <c r="A2" s="78"/>
      <c r="B2" s="202" t="s">
        <v>143</v>
      </c>
      <c r="C2" s="300" t="s">
        <v>425</v>
      </c>
      <c r="D2" s="204"/>
      <c r="E2" s="96"/>
      <c r="H2" s="97"/>
      <c r="I2" s="299"/>
      <c r="J2" s="98" t="s">
        <v>146</v>
      </c>
      <c r="K2" s="301" t="s">
        <v>426</v>
      </c>
      <c r="L2" s="86"/>
      <c r="M2" s="87" t="s">
        <v>147</v>
      </c>
      <c r="N2" s="101" t="s">
        <v>274</v>
      </c>
      <c r="O2" s="89"/>
      <c r="P2" s="90"/>
      <c r="Q2" s="86"/>
      <c r="R2" s="91"/>
    </row>
    <row r="3" ht="36.0" customHeight="1">
      <c r="A3" s="78"/>
      <c r="B3" s="202" t="s">
        <v>148</v>
      </c>
      <c r="C3" s="300" t="s">
        <v>427</v>
      </c>
      <c r="D3" s="204"/>
      <c r="E3" s="105"/>
      <c r="F3" s="106"/>
      <c r="G3" s="106"/>
      <c r="H3" s="107"/>
      <c r="I3" s="302"/>
      <c r="J3" s="108" t="s">
        <v>150</v>
      </c>
      <c r="K3" s="109" t="str">
        <f>N4</f>
        <v/>
      </c>
      <c r="L3" s="86"/>
      <c r="M3" s="87" t="s">
        <v>151</v>
      </c>
      <c r="N3" s="88"/>
      <c r="O3" s="89"/>
      <c r="P3" s="90"/>
      <c r="Q3" s="86"/>
      <c r="R3" s="111"/>
    </row>
    <row r="4" ht="27.75" customHeight="1">
      <c r="A4" s="78"/>
      <c r="B4" s="86"/>
      <c r="C4" s="86"/>
      <c r="D4" s="86"/>
      <c r="E4" s="112"/>
      <c r="F4" s="86"/>
      <c r="G4" s="112"/>
      <c r="H4" s="112"/>
      <c r="I4" s="38"/>
      <c r="J4" s="86"/>
      <c r="K4" s="86"/>
      <c r="L4" s="86"/>
      <c r="M4" s="303"/>
      <c r="N4" s="114"/>
      <c r="O4" s="115"/>
      <c r="P4" s="111"/>
      <c r="Q4" s="86"/>
      <c r="R4" s="116"/>
    </row>
    <row r="5" ht="27.75" customHeight="1">
      <c r="A5" s="78"/>
      <c r="B5" s="116" t="s">
        <v>428</v>
      </c>
      <c r="C5" s="117" t="s">
        <v>429</v>
      </c>
      <c r="I5" s="304"/>
      <c r="J5" s="120" t="s">
        <v>156</v>
      </c>
      <c r="L5" s="86"/>
      <c r="M5" s="305"/>
      <c r="N5" s="122" t="s">
        <v>157</v>
      </c>
      <c r="Q5" s="86"/>
      <c r="R5" s="116" t="s">
        <v>153</v>
      </c>
    </row>
    <row r="6" ht="27.0" customHeight="1">
      <c r="A6" s="123"/>
      <c r="B6" s="124" t="s">
        <v>158</v>
      </c>
      <c r="C6" s="126" t="s">
        <v>161</v>
      </c>
      <c r="D6" s="127" t="s">
        <v>430</v>
      </c>
      <c r="E6" s="208" t="s">
        <v>163</v>
      </c>
      <c r="F6" s="127" t="s">
        <v>164</v>
      </c>
      <c r="G6" s="127" t="s">
        <v>165</v>
      </c>
      <c r="H6" s="130" t="s">
        <v>276</v>
      </c>
      <c r="I6" s="306" t="s">
        <v>431</v>
      </c>
      <c r="J6" s="210" t="s">
        <v>432</v>
      </c>
      <c r="K6" s="107"/>
      <c r="L6" s="86"/>
      <c r="M6" s="134" t="s">
        <v>170</v>
      </c>
      <c r="N6" s="135" t="s">
        <v>171</v>
      </c>
      <c r="O6" s="136" t="s">
        <v>172</v>
      </c>
      <c r="P6" s="136" t="s">
        <v>173</v>
      </c>
      <c r="Q6" s="86"/>
      <c r="R6" s="124" t="s">
        <v>174</v>
      </c>
    </row>
    <row r="7">
      <c r="A7" s="307"/>
      <c r="B7" s="308"/>
      <c r="C7" s="309" t="s">
        <v>95</v>
      </c>
      <c r="D7" s="310" t="s">
        <v>433</v>
      </c>
      <c r="E7" s="311"/>
      <c r="F7" s="312" t="s">
        <v>434</v>
      </c>
      <c r="G7" s="308"/>
      <c r="H7" s="313"/>
      <c r="I7" s="308"/>
      <c r="J7" s="220"/>
      <c r="K7" s="221"/>
      <c r="L7" s="160"/>
      <c r="M7" s="314"/>
      <c r="N7" s="308"/>
      <c r="O7" s="308"/>
      <c r="P7" s="308"/>
      <c r="Q7" s="315"/>
      <c r="R7" s="308"/>
    </row>
    <row r="8">
      <c r="A8" s="307"/>
      <c r="B8" s="316" t="b">
        <v>1</v>
      </c>
      <c r="C8" s="317" t="s">
        <v>435</v>
      </c>
      <c r="D8" s="318" t="s">
        <v>436</v>
      </c>
      <c r="E8" s="319" t="s">
        <v>181</v>
      </c>
      <c r="F8" s="320" t="s">
        <v>437</v>
      </c>
      <c r="G8" s="321">
        <v>2.0</v>
      </c>
      <c r="H8" s="322">
        <v>45240.0</v>
      </c>
      <c r="I8" s="323" t="b">
        <v>1</v>
      </c>
      <c r="J8" s="324" t="str">
        <f t="shared" ref="J8:J16" si="1">CONCATENATE(C8,"-",E8, ". ",F8)</f>
        <v>Chapter01-01. 데이터 시각화 강사소개 및 커리큘럼</v>
      </c>
      <c r="K8" s="146"/>
      <c r="L8" s="160"/>
      <c r="M8" s="325">
        <v>45240.0</v>
      </c>
      <c r="N8" s="321">
        <v>2.0</v>
      </c>
      <c r="O8" s="326" t="s">
        <v>438</v>
      </c>
      <c r="P8" s="327"/>
      <c r="Q8" s="315"/>
      <c r="R8" s="328">
        <v>45268.0</v>
      </c>
    </row>
    <row r="9">
      <c r="A9" s="307"/>
      <c r="B9" s="316" t="b">
        <v>1</v>
      </c>
      <c r="C9" s="317" t="s">
        <v>439</v>
      </c>
      <c r="D9" s="329" t="s">
        <v>440</v>
      </c>
      <c r="E9" s="319" t="s">
        <v>181</v>
      </c>
      <c r="F9" s="329" t="s">
        <v>441</v>
      </c>
      <c r="G9" s="321">
        <v>1.0</v>
      </c>
      <c r="H9" s="322">
        <v>45240.0</v>
      </c>
      <c r="I9" s="323" t="b">
        <v>1</v>
      </c>
      <c r="J9" s="324" t="str">
        <f t="shared" si="1"/>
        <v>Chapter02-01. Introduction</v>
      </c>
      <c r="K9" s="146"/>
      <c r="L9" s="160"/>
      <c r="M9" s="325">
        <v>45240.0</v>
      </c>
      <c r="N9" s="321">
        <v>1.0</v>
      </c>
      <c r="O9" s="326" t="s">
        <v>438</v>
      </c>
      <c r="P9" s="327"/>
      <c r="Q9" s="315"/>
      <c r="R9" s="328">
        <v>45268.0</v>
      </c>
    </row>
    <row r="10">
      <c r="A10" s="307"/>
      <c r="B10" s="316" t="b">
        <v>1</v>
      </c>
      <c r="C10" s="317" t="s">
        <v>442</v>
      </c>
      <c r="D10" s="330" t="s">
        <v>433</v>
      </c>
      <c r="E10" s="319" t="s">
        <v>181</v>
      </c>
      <c r="F10" s="331" t="s">
        <v>443</v>
      </c>
      <c r="G10" s="321">
        <v>10.0</v>
      </c>
      <c r="H10" s="322">
        <v>45240.0</v>
      </c>
      <c r="I10" s="323" t="b">
        <v>1</v>
      </c>
      <c r="J10" s="324" t="str">
        <f t="shared" si="1"/>
        <v>Chapter03-01. 데이터 시각화로 설득하는 단계별 방법</v>
      </c>
      <c r="K10" s="146"/>
      <c r="L10" s="160"/>
      <c r="M10" s="325">
        <v>45240.0</v>
      </c>
      <c r="N10" s="321">
        <v>10.0</v>
      </c>
      <c r="O10" s="326" t="s">
        <v>438</v>
      </c>
      <c r="P10" s="327"/>
      <c r="Q10" s="315"/>
      <c r="R10" s="328">
        <v>45268.0</v>
      </c>
    </row>
    <row r="11">
      <c r="A11" s="307"/>
      <c r="B11" s="316" t="b">
        <v>1</v>
      </c>
      <c r="C11" s="317" t="s">
        <v>442</v>
      </c>
      <c r="D11" s="330" t="s">
        <v>433</v>
      </c>
      <c r="E11" s="319" t="s">
        <v>183</v>
      </c>
      <c r="F11" s="331" t="s">
        <v>444</v>
      </c>
      <c r="G11" s="332">
        <v>6.5</v>
      </c>
      <c r="H11" s="322">
        <v>45246.0</v>
      </c>
      <c r="I11" s="323" t="b">
        <v>1</v>
      </c>
      <c r="J11" s="324" t="str">
        <f t="shared" si="1"/>
        <v>Chapter03-02. Actionable Data Visualization</v>
      </c>
      <c r="K11" s="146"/>
      <c r="L11" s="160"/>
      <c r="M11" s="325">
        <v>45246.0</v>
      </c>
      <c r="N11" s="332">
        <v>6.5</v>
      </c>
      <c r="O11" s="333"/>
      <c r="P11" s="327"/>
      <c r="Q11" s="315"/>
      <c r="R11" s="328">
        <v>45268.0</v>
      </c>
    </row>
    <row r="12">
      <c r="A12" s="307"/>
      <c r="B12" s="316" t="b">
        <v>1</v>
      </c>
      <c r="C12" s="317" t="s">
        <v>442</v>
      </c>
      <c r="D12" s="330" t="s">
        <v>433</v>
      </c>
      <c r="E12" s="319" t="s">
        <v>189</v>
      </c>
      <c r="F12" s="331" t="s">
        <v>445</v>
      </c>
      <c r="G12" s="332">
        <v>14.5</v>
      </c>
      <c r="H12" s="322">
        <v>45246.0</v>
      </c>
      <c r="I12" s="323" t="b">
        <v>1</v>
      </c>
      <c r="J12" s="324" t="str">
        <f t="shared" si="1"/>
        <v>Chapter03-03. 실무에서 필수로 쓰이는 데이터 시각화의 종류 예시</v>
      </c>
      <c r="K12" s="146"/>
      <c r="L12" s="160"/>
      <c r="M12" s="325">
        <v>45246.0</v>
      </c>
      <c r="N12" s="332">
        <v>14.5</v>
      </c>
      <c r="O12" s="326" t="s">
        <v>446</v>
      </c>
      <c r="P12" s="327"/>
      <c r="Q12" s="315"/>
      <c r="R12" s="328">
        <v>45268.0</v>
      </c>
    </row>
    <row r="13">
      <c r="A13" s="307"/>
      <c r="B13" s="316" t="b">
        <v>1</v>
      </c>
      <c r="C13" s="317" t="s">
        <v>442</v>
      </c>
      <c r="D13" s="330" t="s">
        <v>433</v>
      </c>
      <c r="E13" s="319" t="s">
        <v>191</v>
      </c>
      <c r="F13" s="331" t="s">
        <v>447</v>
      </c>
      <c r="G13" s="332">
        <v>7.5</v>
      </c>
      <c r="H13" s="322">
        <v>45246.0</v>
      </c>
      <c r="I13" s="323" t="b">
        <v>1</v>
      </c>
      <c r="J13" s="324" t="str">
        <f t="shared" si="1"/>
        <v>Chapter03-04. Marketing,Product, Growth 데이터 시각화 활용 사례 </v>
      </c>
      <c r="K13" s="146"/>
      <c r="L13" s="160"/>
      <c r="M13" s="325">
        <v>45246.0</v>
      </c>
      <c r="N13" s="332">
        <v>7.5</v>
      </c>
      <c r="O13" s="333"/>
      <c r="P13" s="327"/>
      <c r="Q13" s="315"/>
      <c r="R13" s="328">
        <v>45268.0</v>
      </c>
    </row>
    <row r="14">
      <c r="A14" s="307"/>
      <c r="B14" s="316" t="b">
        <v>1</v>
      </c>
      <c r="C14" s="317" t="s">
        <v>442</v>
      </c>
      <c r="D14" s="330" t="s">
        <v>433</v>
      </c>
      <c r="E14" s="319" t="s">
        <v>193</v>
      </c>
      <c r="F14" s="331" t="s">
        <v>448</v>
      </c>
      <c r="G14" s="332">
        <v>17.0</v>
      </c>
      <c r="H14" s="322">
        <v>45265.0</v>
      </c>
      <c r="I14" s="323" t="b">
        <v>1</v>
      </c>
      <c r="J14" s="324" t="str">
        <f t="shared" si="1"/>
        <v>Chapter03-05. 데이터 시각화에서 인사이트를 도출하는 flow </v>
      </c>
      <c r="K14" s="146"/>
      <c r="L14" s="160"/>
      <c r="M14" s="325">
        <v>45265.0</v>
      </c>
      <c r="N14" s="332">
        <v>17.0</v>
      </c>
      <c r="O14" s="326" t="s">
        <v>449</v>
      </c>
      <c r="P14" s="327"/>
      <c r="Q14" s="315"/>
      <c r="R14" s="328">
        <v>45268.0</v>
      </c>
    </row>
    <row r="15">
      <c r="A15" s="307"/>
      <c r="B15" s="316" t="b">
        <v>1</v>
      </c>
      <c r="C15" s="317" t="s">
        <v>442</v>
      </c>
      <c r="D15" s="330" t="s">
        <v>433</v>
      </c>
      <c r="E15" s="319" t="s">
        <v>223</v>
      </c>
      <c r="F15" s="331" t="s">
        <v>450</v>
      </c>
      <c r="G15" s="334">
        <v>12.0</v>
      </c>
      <c r="H15" s="322">
        <v>45265.0</v>
      </c>
      <c r="I15" s="323" t="b">
        <v>1</v>
      </c>
      <c r="J15" s="324" t="str">
        <f t="shared" si="1"/>
        <v>Chapter03-06. 데이터 분석가 실무 커뮤니케이션 프로세스</v>
      </c>
      <c r="K15" s="146"/>
      <c r="L15" s="160"/>
      <c r="M15" s="325">
        <v>45265.0</v>
      </c>
      <c r="N15" s="332">
        <v>12.0</v>
      </c>
      <c r="O15" s="326" t="s">
        <v>451</v>
      </c>
      <c r="P15" s="327"/>
      <c r="Q15" s="315"/>
      <c r="R15" s="328">
        <v>45268.0</v>
      </c>
    </row>
    <row r="16">
      <c r="A16" s="111"/>
      <c r="B16" s="335" t="b">
        <v>1</v>
      </c>
      <c r="C16" s="317" t="s">
        <v>442</v>
      </c>
      <c r="D16" s="330" t="s">
        <v>433</v>
      </c>
      <c r="E16" s="319" t="s">
        <v>225</v>
      </c>
      <c r="F16" s="336" t="s">
        <v>452</v>
      </c>
      <c r="G16" s="337">
        <v>10.5</v>
      </c>
      <c r="H16" s="322">
        <v>45265.0</v>
      </c>
      <c r="I16" s="323" t="b">
        <v>1</v>
      </c>
      <c r="J16" s="324" t="str">
        <f t="shared" si="1"/>
        <v>Chapter03-07. 좋은 유저 경험을 디자인하는 차트를 만드는 방법</v>
      </c>
      <c r="K16" s="146"/>
      <c r="L16" s="86"/>
      <c r="M16" s="325">
        <v>45265.0</v>
      </c>
      <c r="N16" s="338">
        <v>10.5</v>
      </c>
      <c r="O16" s="339" t="s">
        <v>451</v>
      </c>
      <c r="P16" s="248"/>
      <c r="Q16" s="86"/>
      <c r="R16" s="328">
        <v>45268.0</v>
      </c>
    </row>
    <row r="17">
      <c r="A17" s="307"/>
      <c r="B17" s="308"/>
      <c r="C17" s="309" t="s">
        <v>453</v>
      </c>
      <c r="D17" s="310" t="s">
        <v>454</v>
      </c>
      <c r="E17" s="311"/>
      <c r="F17" s="340"/>
      <c r="G17" s="341"/>
      <c r="H17" s="313"/>
      <c r="I17" s="308"/>
      <c r="J17" s="220"/>
      <c r="K17" s="221"/>
      <c r="L17" s="160"/>
      <c r="M17" s="314"/>
      <c r="N17" s="313"/>
      <c r="O17" s="308"/>
      <c r="P17" s="308"/>
      <c r="Q17" s="315"/>
      <c r="R17" s="308"/>
    </row>
    <row r="18">
      <c r="A18" s="307"/>
      <c r="B18" s="316" t="b">
        <v>1</v>
      </c>
      <c r="C18" s="317" t="s">
        <v>435</v>
      </c>
      <c r="D18" s="331" t="s">
        <v>454</v>
      </c>
      <c r="E18" s="319" t="s">
        <v>181</v>
      </c>
      <c r="F18" s="331" t="s">
        <v>455</v>
      </c>
      <c r="G18" s="332">
        <v>17.0</v>
      </c>
      <c r="H18" s="322">
        <v>45266.0</v>
      </c>
      <c r="I18" s="323" t="b">
        <v>1</v>
      </c>
      <c r="J18" s="324" t="str">
        <f t="shared" ref="J18:J25" si="2">CONCATENATE(C18,"-",E18, ". ",F18)</f>
        <v>Chapter01-01. 다양한 BI 툴 소개 및 Tableau 를 활용하는 이유</v>
      </c>
      <c r="K18" s="146"/>
      <c r="L18" s="160"/>
      <c r="M18" s="325">
        <v>45266.0</v>
      </c>
      <c r="N18" s="332">
        <v>17.0</v>
      </c>
      <c r="O18" s="326" t="s">
        <v>456</v>
      </c>
      <c r="P18" s="327"/>
      <c r="Q18" s="315"/>
      <c r="R18" s="328">
        <v>45268.0</v>
      </c>
    </row>
    <row r="19">
      <c r="A19" s="307"/>
      <c r="B19" s="316" t="b">
        <v>1</v>
      </c>
      <c r="C19" s="317" t="s">
        <v>435</v>
      </c>
      <c r="D19" s="331" t="s">
        <v>454</v>
      </c>
      <c r="E19" s="319" t="s">
        <v>183</v>
      </c>
      <c r="F19" s="331" t="s">
        <v>457</v>
      </c>
      <c r="G19" s="332">
        <v>4.0</v>
      </c>
      <c r="H19" s="322">
        <v>45266.0</v>
      </c>
      <c r="I19" s="323" t="b">
        <v>1</v>
      </c>
      <c r="J19" s="324" t="str">
        <f t="shared" si="2"/>
        <v>Chapter01-02. (추가) Tableau Public 버전 사용자 데이터 연결 시 공지사항</v>
      </c>
      <c r="K19" s="146"/>
      <c r="L19" s="160"/>
      <c r="M19" s="325">
        <v>45278.0</v>
      </c>
      <c r="N19" s="332">
        <v>4.0</v>
      </c>
      <c r="O19" s="326" t="s">
        <v>458</v>
      </c>
      <c r="P19" s="327"/>
      <c r="Q19" s="315"/>
      <c r="R19" s="328">
        <v>45282.0</v>
      </c>
    </row>
    <row r="20">
      <c r="A20" s="307"/>
      <c r="B20" s="316" t="b">
        <v>1</v>
      </c>
      <c r="C20" s="317" t="s">
        <v>435</v>
      </c>
      <c r="D20" s="331" t="s">
        <v>454</v>
      </c>
      <c r="E20" s="319" t="s">
        <v>189</v>
      </c>
      <c r="F20" s="331" t="s">
        <v>459</v>
      </c>
      <c r="G20" s="342">
        <v>19.5</v>
      </c>
      <c r="H20" s="322">
        <v>45266.0</v>
      </c>
      <c r="I20" s="323" t="b">
        <v>1</v>
      </c>
      <c r="J20" s="324" t="str">
        <f t="shared" si="2"/>
        <v>Chapter01-03. Tableau 인터페이스 1. 다운로드, 데이터 연결, 인터페이스 (데이터 원본 창까지)</v>
      </c>
      <c r="K20" s="146"/>
      <c r="L20" s="160"/>
      <c r="M20" s="325">
        <v>45266.0</v>
      </c>
      <c r="N20" s="342">
        <v>19.5</v>
      </c>
      <c r="O20" s="326" t="s">
        <v>460</v>
      </c>
      <c r="P20" s="327"/>
      <c r="Q20" s="315"/>
      <c r="R20" s="328">
        <v>45282.0</v>
      </c>
    </row>
    <row r="21">
      <c r="A21" s="307"/>
      <c r="B21" s="316" t="b">
        <v>1</v>
      </c>
      <c r="C21" s="317" t="s">
        <v>435</v>
      </c>
      <c r="D21" s="331" t="s">
        <v>454</v>
      </c>
      <c r="E21" s="319" t="s">
        <v>191</v>
      </c>
      <c r="F21" s="331" t="s">
        <v>461</v>
      </c>
      <c r="G21" s="342">
        <v>15.5</v>
      </c>
      <c r="H21" s="322">
        <v>45266.0</v>
      </c>
      <c r="I21" s="323" t="b">
        <v>1</v>
      </c>
      <c r="J21" s="324" t="str">
        <f t="shared" si="2"/>
        <v>Chapter01-04. Tableau 인터페이스 2. 인터페이스 (워크시트 화면), 베이직 차트 실습</v>
      </c>
      <c r="K21" s="146"/>
      <c r="L21" s="160"/>
      <c r="M21" s="325">
        <v>45266.0</v>
      </c>
      <c r="N21" s="342">
        <v>15.5</v>
      </c>
      <c r="O21" s="333"/>
      <c r="P21" s="327"/>
      <c r="Q21" s="315"/>
      <c r="R21" s="328">
        <v>45282.0</v>
      </c>
    </row>
    <row r="22">
      <c r="A22" s="307"/>
      <c r="B22" s="316" t="b">
        <v>1</v>
      </c>
      <c r="C22" s="317" t="s">
        <v>435</v>
      </c>
      <c r="D22" s="331" t="s">
        <v>454</v>
      </c>
      <c r="E22" s="319" t="s">
        <v>193</v>
      </c>
      <c r="F22" s="331" t="s">
        <v>462</v>
      </c>
      <c r="G22" s="342">
        <v>24.0</v>
      </c>
      <c r="H22" s="322">
        <v>45273.0</v>
      </c>
      <c r="I22" s="323" t="b">
        <v>1</v>
      </c>
      <c r="J22" s="324" t="str">
        <f t="shared" si="2"/>
        <v>Chapter01-05. Tableau 는 무엇인가 : 3가지 핵심 개념으로 마무리 (차원 측정값, 연속 불연속, VLOD와 집계방식)</v>
      </c>
      <c r="K22" s="146"/>
      <c r="L22" s="160"/>
      <c r="M22" s="325">
        <v>45273.0</v>
      </c>
      <c r="N22" s="342">
        <v>24.0</v>
      </c>
      <c r="O22" s="326" t="s">
        <v>463</v>
      </c>
      <c r="P22" s="327"/>
      <c r="Q22" s="315"/>
      <c r="R22" s="328">
        <v>45282.0</v>
      </c>
    </row>
    <row r="23">
      <c r="A23" s="307"/>
      <c r="B23" s="316" t="b">
        <v>1</v>
      </c>
      <c r="C23" s="317" t="s">
        <v>435</v>
      </c>
      <c r="D23" s="331" t="s">
        <v>454</v>
      </c>
      <c r="E23" s="319" t="s">
        <v>223</v>
      </c>
      <c r="F23" s="343" t="s">
        <v>464</v>
      </c>
      <c r="G23" s="342">
        <v>5.5</v>
      </c>
      <c r="H23" s="322">
        <v>45273.0</v>
      </c>
      <c r="I23" s="323" t="b">
        <v>1</v>
      </c>
      <c r="J23" s="324" t="str">
        <f t="shared" si="2"/>
        <v>Chapter01-06. 본격적으로 분석하기 전, 데이터 시각화로 데이터 탐색하기</v>
      </c>
      <c r="K23" s="146"/>
      <c r="L23" s="160"/>
      <c r="M23" s="325">
        <v>45273.0</v>
      </c>
      <c r="N23" s="342">
        <v>5.5</v>
      </c>
      <c r="O23" s="326"/>
      <c r="P23" s="327"/>
      <c r="Q23" s="315"/>
      <c r="R23" s="328">
        <v>45282.0</v>
      </c>
    </row>
    <row r="24">
      <c r="A24" s="111"/>
      <c r="B24" s="335" t="b">
        <v>1</v>
      </c>
      <c r="C24" s="317" t="s">
        <v>435</v>
      </c>
      <c r="D24" s="331" t="s">
        <v>454</v>
      </c>
      <c r="E24" s="319" t="s">
        <v>225</v>
      </c>
      <c r="F24" s="344" t="s">
        <v>465</v>
      </c>
      <c r="G24" s="342">
        <v>17.5</v>
      </c>
      <c r="H24" s="345">
        <v>45273.0</v>
      </c>
      <c r="I24" s="323" t="b">
        <v>1</v>
      </c>
      <c r="J24" s="324" t="str">
        <f t="shared" si="2"/>
        <v>Chapter01-07. 데이터 관계 / 유니온 / 변형 : 분석하기 좋은 데이터셋 구성하기</v>
      </c>
      <c r="K24" s="146"/>
      <c r="L24" s="86"/>
      <c r="M24" s="346">
        <v>45273.0</v>
      </c>
      <c r="N24" s="342">
        <v>17.5</v>
      </c>
      <c r="O24" s="326"/>
      <c r="P24" s="248"/>
      <c r="Q24" s="86"/>
      <c r="R24" s="328">
        <v>45282.0</v>
      </c>
    </row>
    <row r="25">
      <c r="A25" s="111"/>
      <c r="B25" s="347" t="b">
        <v>1</v>
      </c>
      <c r="C25" s="317" t="s">
        <v>435</v>
      </c>
      <c r="D25" s="331" t="s">
        <v>454</v>
      </c>
      <c r="E25" s="348" t="s">
        <v>466</v>
      </c>
      <c r="F25" s="349" t="s">
        <v>467</v>
      </c>
      <c r="G25" s="342">
        <v>11.0</v>
      </c>
      <c r="H25" s="350">
        <v>45273.0</v>
      </c>
      <c r="I25" s="323" t="b">
        <v>1</v>
      </c>
      <c r="J25" s="324" t="str">
        <f t="shared" si="2"/>
        <v>Chapter01-08. 매출 데이터 KPI 시각화 실습  (객단가, 건단가, 구매건수, 구매수량, 총매출 등)</v>
      </c>
      <c r="K25" s="146"/>
      <c r="L25" s="86"/>
      <c r="M25" s="346">
        <v>45273.0</v>
      </c>
      <c r="N25" s="342">
        <v>11.0</v>
      </c>
      <c r="O25" s="351"/>
      <c r="P25" s="352"/>
      <c r="Q25" s="86"/>
      <c r="R25" s="328">
        <v>45282.0</v>
      </c>
    </row>
    <row r="26">
      <c r="A26" s="307"/>
      <c r="B26" s="308"/>
      <c r="C26" s="309" t="s">
        <v>468</v>
      </c>
      <c r="D26" s="310" t="s">
        <v>469</v>
      </c>
      <c r="E26" s="311"/>
      <c r="F26" s="353" t="s">
        <v>470</v>
      </c>
      <c r="G26" s="308"/>
      <c r="H26" s="313"/>
      <c r="I26" s="354"/>
      <c r="J26" s="220"/>
      <c r="K26" s="221"/>
      <c r="L26" s="160"/>
      <c r="M26" s="314"/>
      <c r="N26" s="308"/>
      <c r="O26" s="308"/>
      <c r="P26" s="308"/>
      <c r="Q26" s="315"/>
      <c r="R26" s="308"/>
    </row>
    <row r="27">
      <c r="A27" s="307"/>
      <c r="B27" s="316" t="b">
        <v>1</v>
      </c>
      <c r="C27" s="317" t="s">
        <v>435</v>
      </c>
      <c r="D27" s="331" t="s">
        <v>469</v>
      </c>
      <c r="E27" s="319" t="s">
        <v>181</v>
      </c>
      <c r="F27" s="349" t="s">
        <v>471</v>
      </c>
      <c r="G27" s="342">
        <v>8.5</v>
      </c>
      <c r="H27" s="355">
        <v>45274.0</v>
      </c>
      <c r="I27" s="356" t="b">
        <v>1</v>
      </c>
      <c r="J27" s="357" t="str">
        <f t="shared" ref="J27:J34" si="3">CONCATENATE(C27,"-",E27, ". ",F27)</f>
        <v>Chapter01-01. 태블로 실무 계산  1) 기본 계산 : 분석에 필요한 데이터 컬럼을 생성하는 방법  </v>
      </c>
      <c r="K27" s="146"/>
      <c r="L27" s="160"/>
      <c r="M27" s="325">
        <v>45274.0</v>
      </c>
      <c r="N27" s="342">
        <v>8.5</v>
      </c>
      <c r="O27" s="333"/>
      <c r="P27" s="327"/>
      <c r="Q27" s="315"/>
      <c r="R27" s="328">
        <v>45282.0</v>
      </c>
    </row>
    <row r="28">
      <c r="A28" s="307"/>
      <c r="B28" s="316" t="b">
        <v>1</v>
      </c>
      <c r="C28" s="317" t="s">
        <v>435</v>
      </c>
      <c r="D28" s="331" t="s">
        <v>469</v>
      </c>
      <c r="E28" s="319" t="s">
        <v>183</v>
      </c>
      <c r="F28" s="358" t="s">
        <v>472</v>
      </c>
      <c r="G28" s="342">
        <v>11.0</v>
      </c>
      <c r="H28" s="355">
        <v>45274.0</v>
      </c>
      <c r="I28" s="356" t="b">
        <v>1</v>
      </c>
      <c r="J28" s="357" t="str">
        <f t="shared" si="3"/>
        <v>Chapter01-02. 태블로 실무 계산  2) 테이블 계산 : 시각화에서 지표를 비교하고 평가하기 위한 방법 </v>
      </c>
      <c r="K28" s="146"/>
      <c r="L28" s="160"/>
      <c r="M28" s="325">
        <v>45274.0</v>
      </c>
      <c r="N28" s="342">
        <v>11.0</v>
      </c>
      <c r="O28" s="333"/>
      <c r="P28" s="327"/>
      <c r="Q28" s="315"/>
      <c r="R28" s="328">
        <v>45282.0</v>
      </c>
    </row>
    <row r="29">
      <c r="A29" s="307"/>
      <c r="B29" s="316" t="b">
        <v>1</v>
      </c>
      <c r="C29" s="317" t="s">
        <v>435</v>
      </c>
      <c r="D29" s="331" t="s">
        <v>469</v>
      </c>
      <c r="E29" s="319" t="s">
        <v>189</v>
      </c>
      <c r="F29" s="358" t="s">
        <v>473</v>
      </c>
      <c r="G29" s="342">
        <v>7.0</v>
      </c>
      <c r="H29" s="355">
        <v>45274.0</v>
      </c>
      <c r="I29" s="356" t="b">
        <v>1</v>
      </c>
      <c r="J29" s="357" t="str">
        <f t="shared" si="3"/>
        <v>Chapter01-03. 태블로 실무 계산  3) LOD 계산 : 실무에서 원하는 수준으로 데이터를 고정해서 계산하는 방법 </v>
      </c>
      <c r="K29" s="146"/>
      <c r="L29" s="160"/>
      <c r="M29" s="325">
        <v>45274.0</v>
      </c>
      <c r="N29" s="342">
        <v>7.0</v>
      </c>
      <c r="O29" s="333"/>
      <c r="P29" s="327"/>
      <c r="Q29" s="315"/>
      <c r="R29" s="328">
        <v>45282.0</v>
      </c>
    </row>
    <row r="30">
      <c r="A30" s="307"/>
      <c r="B30" s="316" t="b">
        <v>1</v>
      </c>
      <c r="C30" s="317" t="s">
        <v>435</v>
      </c>
      <c r="D30" s="331" t="s">
        <v>469</v>
      </c>
      <c r="E30" s="319" t="s">
        <v>191</v>
      </c>
      <c r="F30" s="359" t="s">
        <v>474</v>
      </c>
      <c r="G30" s="342">
        <v>5.5</v>
      </c>
      <c r="H30" s="355">
        <v>45274.0</v>
      </c>
      <c r="I30" s="356" t="b">
        <v>1</v>
      </c>
      <c r="J30" s="357" t="str">
        <f t="shared" si="3"/>
        <v>Chapter01-04. 태블로 실무 계산  4) Order of Operations : 태블로의 쿼리 파이프라인과 작업 순서 이해하기 </v>
      </c>
      <c r="K30" s="146"/>
      <c r="L30" s="160"/>
      <c r="M30" s="325">
        <v>45274.0</v>
      </c>
      <c r="N30" s="342">
        <v>5.5</v>
      </c>
      <c r="O30" s="333"/>
      <c r="P30" s="327"/>
      <c r="Q30" s="315"/>
      <c r="R30" s="328">
        <v>45282.0</v>
      </c>
    </row>
    <row r="31">
      <c r="A31" s="307"/>
      <c r="B31" s="316" t="b">
        <v>1</v>
      </c>
      <c r="C31" s="317" t="s">
        <v>435</v>
      </c>
      <c r="D31" s="331" t="s">
        <v>469</v>
      </c>
      <c r="E31" s="319" t="s">
        <v>193</v>
      </c>
      <c r="F31" s="331" t="s">
        <v>475</v>
      </c>
      <c r="G31" s="342">
        <v>26.0</v>
      </c>
      <c r="H31" s="355">
        <v>45276.0</v>
      </c>
      <c r="I31" s="356" t="b">
        <v>1</v>
      </c>
      <c r="J31" s="357" t="str">
        <f t="shared" si="3"/>
        <v>Chapter01-05. 드릴다운 분석을 위한 시각화 : 전체를 구성하는 개별 요소 분석</v>
      </c>
      <c r="K31" s="146"/>
      <c r="L31" s="160"/>
      <c r="M31" s="325">
        <v>45276.0</v>
      </c>
      <c r="N31" s="342">
        <v>26.0</v>
      </c>
      <c r="O31" s="333"/>
      <c r="P31" s="327"/>
      <c r="Q31" s="315"/>
      <c r="R31" s="328">
        <v>45282.0</v>
      </c>
    </row>
    <row r="32">
      <c r="A32" s="307"/>
      <c r="B32" s="316" t="b">
        <v>1</v>
      </c>
      <c r="C32" s="317" t="s">
        <v>435</v>
      </c>
      <c r="D32" s="331" t="s">
        <v>469</v>
      </c>
      <c r="E32" s="319" t="s">
        <v>223</v>
      </c>
      <c r="F32" s="331" t="s">
        <v>476</v>
      </c>
      <c r="G32" s="342">
        <v>13.0</v>
      </c>
      <c r="H32" s="322">
        <v>45276.0</v>
      </c>
      <c r="I32" s="323" t="b">
        <v>1</v>
      </c>
      <c r="J32" s="324" t="str">
        <f t="shared" si="3"/>
        <v>Chapter01-06. 상관관계와 분포를 보기 위한 시각화 : 개별 레코드 수준 분석 </v>
      </c>
      <c r="K32" s="146"/>
      <c r="L32" s="160"/>
      <c r="M32" s="325">
        <v>45276.0</v>
      </c>
      <c r="N32" s="342">
        <v>13.0</v>
      </c>
      <c r="O32" s="333"/>
      <c r="P32" s="327"/>
      <c r="Q32" s="315"/>
      <c r="R32" s="328">
        <v>45282.0</v>
      </c>
    </row>
    <row r="33">
      <c r="A33" s="307"/>
      <c r="B33" s="316" t="b">
        <v>1</v>
      </c>
      <c r="C33" s="317" t="s">
        <v>435</v>
      </c>
      <c r="D33" s="331" t="s">
        <v>469</v>
      </c>
      <c r="E33" s="319" t="s">
        <v>225</v>
      </c>
      <c r="F33" s="331" t="s">
        <v>477</v>
      </c>
      <c r="G33" s="342">
        <v>18.0</v>
      </c>
      <c r="H33" s="322">
        <v>45277.0</v>
      </c>
      <c r="I33" s="323" t="b">
        <v>1</v>
      </c>
      <c r="J33" s="324" t="str">
        <f t="shared" si="3"/>
        <v>Chapter01-07. 비교를 위한 시각화 : 전 주 대비 비교 KPI 분석</v>
      </c>
      <c r="K33" s="146"/>
      <c r="L33" s="160"/>
      <c r="M33" s="325">
        <v>45277.0</v>
      </c>
      <c r="N33" s="342">
        <v>18.0</v>
      </c>
      <c r="O33" s="333"/>
      <c r="P33" s="327"/>
      <c r="Q33" s="315"/>
      <c r="R33" s="328">
        <v>45282.0</v>
      </c>
    </row>
    <row r="34">
      <c r="A34" s="307"/>
      <c r="B34" s="316" t="b">
        <v>1</v>
      </c>
      <c r="C34" s="317" t="s">
        <v>435</v>
      </c>
      <c r="D34" s="331" t="s">
        <v>469</v>
      </c>
      <c r="E34" s="319" t="s">
        <v>466</v>
      </c>
      <c r="F34" s="331" t="s">
        <v>478</v>
      </c>
      <c r="G34" s="342">
        <v>13.0</v>
      </c>
      <c r="H34" s="322">
        <v>45279.0</v>
      </c>
      <c r="I34" s="323" t="b">
        <v>1</v>
      </c>
      <c r="J34" s="324" t="str">
        <f t="shared" si="3"/>
        <v>Chapter01-08. 시계열 분석 / 예측을 위한 시각화 : Date 와 Time 데이터에 대한 이해, 시계열 예측 시각화</v>
      </c>
      <c r="K34" s="146"/>
      <c r="L34" s="160"/>
      <c r="M34" s="325">
        <v>45279.0</v>
      </c>
      <c r="N34" s="342">
        <v>13.0</v>
      </c>
      <c r="O34" s="333"/>
      <c r="P34" s="327"/>
      <c r="Q34" s="315"/>
      <c r="R34" s="328">
        <v>45282.0</v>
      </c>
    </row>
    <row r="35">
      <c r="A35" s="307"/>
      <c r="B35" s="308"/>
      <c r="C35" s="309" t="s">
        <v>479</v>
      </c>
      <c r="D35" s="310" t="s">
        <v>480</v>
      </c>
      <c r="E35" s="311"/>
      <c r="F35" s="308"/>
      <c r="G35" s="308"/>
      <c r="H35" s="313"/>
      <c r="I35" s="308"/>
      <c r="J35" s="220"/>
      <c r="K35" s="221"/>
      <c r="L35" s="160"/>
      <c r="M35" s="314"/>
      <c r="N35" s="312">
        <v>5.0</v>
      </c>
      <c r="O35" s="308"/>
      <c r="P35" s="308"/>
      <c r="Q35" s="315"/>
      <c r="R35" s="308"/>
    </row>
    <row r="36">
      <c r="A36" s="307"/>
      <c r="B36" s="316" t="b">
        <v>1</v>
      </c>
      <c r="C36" s="317" t="s">
        <v>435</v>
      </c>
      <c r="D36" s="331" t="s">
        <v>480</v>
      </c>
      <c r="E36" s="319" t="s">
        <v>181</v>
      </c>
      <c r="F36" s="331" t="s">
        <v>481</v>
      </c>
      <c r="G36" s="342">
        <v>20.0</v>
      </c>
      <c r="H36" s="322">
        <v>45280.0</v>
      </c>
      <c r="I36" s="323" t="b">
        <v>1</v>
      </c>
      <c r="J36" s="324" t="str">
        <f t="shared" ref="J36:J40" si="4">CONCATENATE(C36,"-",E36, ". ",F36)</f>
        <v>Chapter01-01. 비즈니스 대시보드 설계 프레임워크 (요구사항 수집, 기획, 우선순위 설정, 구현, 디자인) </v>
      </c>
      <c r="K36" s="146"/>
      <c r="L36" s="160"/>
      <c r="M36" s="325">
        <v>45280.0</v>
      </c>
      <c r="N36" s="342">
        <v>20.0</v>
      </c>
      <c r="O36" s="333"/>
      <c r="P36" s="327"/>
      <c r="Q36" s="315"/>
      <c r="R36" s="328">
        <v>44938.0</v>
      </c>
    </row>
    <row r="37">
      <c r="A37" s="307"/>
      <c r="B37" s="316" t="b">
        <v>1</v>
      </c>
      <c r="C37" s="317" t="s">
        <v>435</v>
      </c>
      <c r="D37" s="331" t="s">
        <v>480</v>
      </c>
      <c r="E37" s="319" t="s">
        <v>183</v>
      </c>
      <c r="F37" s="331" t="s">
        <v>482</v>
      </c>
      <c r="G37" s="342">
        <v>7.0</v>
      </c>
      <c r="H37" s="322">
        <v>45280.0</v>
      </c>
      <c r="I37" s="323" t="b">
        <v>1</v>
      </c>
      <c r="J37" s="324" t="str">
        <f t="shared" si="4"/>
        <v>Chapter01-02. 의사결정을 위해 설득력 있는 데이터 스토리텔링 하는 방법 (C-level 의 주요 지표, 보고서 프레임워크)</v>
      </c>
      <c r="K37" s="146"/>
      <c r="L37" s="160"/>
      <c r="M37" s="325">
        <v>45280.0</v>
      </c>
      <c r="N37" s="342">
        <v>7.0</v>
      </c>
      <c r="O37" s="333"/>
      <c r="P37" s="327"/>
      <c r="Q37" s="315"/>
      <c r="R37" s="328">
        <v>44938.0</v>
      </c>
    </row>
    <row r="38">
      <c r="A38" s="307"/>
      <c r="B38" s="316" t="b">
        <v>1</v>
      </c>
      <c r="C38" s="317" t="s">
        <v>435</v>
      </c>
      <c r="D38" s="331" t="s">
        <v>480</v>
      </c>
      <c r="E38" s="319" t="s">
        <v>189</v>
      </c>
      <c r="F38" s="331" t="s">
        <v>483</v>
      </c>
      <c r="G38" s="342">
        <v>11.0</v>
      </c>
      <c r="H38" s="322">
        <v>45280.0</v>
      </c>
      <c r="I38" s="323" t="b">
        <v>1</v>
      </c>
      <c r="J38" s="324" t="str">
        <f t="shared" si="4"/>
        <v>Chapter01-03. 인터랙티브한 탐색을 위한 대시보드 Action (Filter, Highlight)</v>
      </c>
      <c r="K38" s="146"/>
      <c r="L38" s="160"/>
      <c r="M38" s="325">
        <v>45280.0</v>
      </c>
      <c r="N38" s="342">
        <v>11.0</v>
      </c>
      <c r="O38" s="333"/>
      <c r="P38" s="327"/>
      <c r="Q38" s="315"/>
      <c r="R38" s="328">
        <v>44938.0</v>
      </c>
    </row>
    <row r="39">
      <c r="A39" s="307"/>
      <c r="B39" s="316" t="b">
        <v>1</v>
      </c>
      <c r="C39" s="317" t="s">
        <v>435</v>
      </c>
      <c r="D39" s="331" t="s">
        <v>480</v>
      </c>
      <c r="E39" s="319" t="s">
        <v>191</v>
      </c>
      <c r="F39" s="331" t="s">
        <v>484</v>
      </c>
      <c r="G39" s="342">
        <v>8.5</v>
      </c>
      <c r="H39" s="322">
        <v>45285.0</v>
      </c>
      <c r="I39" s="323" t="b">
        <v>1</v>
      </c>
      <c r="J39" s="324" t="str">
        <f t="shared" si="4"/>
        <v>Chapter01-04. 팀원들에게 시각화 리포트 공유하기 (서버 업로드, 파일 공유 활용법, 공동 작업 방법) </v>
      </c>
      <c r="K39" s="146"/>
      <c r="L39" s="160"/>
      <c r="M39" s="325">
        <v>45285.0</v>
      </c>
      <c r="N39" s="342">
        <v>8.5</v>
      </c>
      <c r="O39" s="360"/>
      <c r="P39" s="327"/>
      <c r="Q39" s="315"/>
      <c r="R39" s="328">
        <v>44938.0</v>
      </c>
    </row>
    <row r="40">
      <c r="A40" s="111"/>
      <c r="B40" s="335" t="b">
        <v>1</v>
      </c>
      <c r="C40" s="317" t="s">
        <v>435</v>
      </c>
      <c r="D40" s="331" t="s">
        <v>480</v>
      </c>
      <c r="E40" s="319" t="s">
        <v>193</v>
      </c>
      <c r="F40" s="331" t="s">
        <v>485</v>
      </c>
      <c r="G40" s="246">
        <v>19.0</v>
      </c>
      <c r="H40" s="345">
        <v>45286.0</v>
      </c>
      <c r="I40" s="323" t="b">
        <v>1</v>
      </c>
      <c r="J40" s="324" t="str">
        <f t="shared" si="4"/>
        <v>Chapter01-05. 데이터 커리어 / 취업에 포트폴리오를 활용하는 방법  </v>
      </c>
      <c r="K40" s="146"/>
      <c r="L40" s="86"/>
      <c r="M40" s="346">
        <v>45286.0</v>
      </c>
      <c r="N40" s="361">
        <v>19.0</v>
      </c>
      <c r="O40" s="339" t="s">
        <v>486</v>
      </c>
      <c r="P40" s="248"/>
      <c r="Q40" s="86"/>
      <c r="R40" s="328">
        <v>44938.0</v>
      </c>
    </row>
    <row r="41">
      <c r="A41" s="307"/>
      <c r="B41" s="362"/>
      <c r="C41" s="363" t="s">
        <v>381</v>
      </c>
      <c r="D41" s="364" t="s">
        <v>487</v>
      </c>
      <c r="E41" s="365"/>
      <c r="F41" s="147"/>
      <c r="G41" s="147"/>
      <c r="H41" s="313"/>
      <c r="I41" s="308"/>
      <c r="J41" s="220"/>
      <c r="K41" s="221"/>
      <c r="L41" s="160"/>
      <c r="M41" s="314"/>
      <c r="N41" s="308"/>
      <c r="O41" s="308"/>
      <c r="P41" s="308"/>
      <c r="Q41" s="315"/>
      <c r="R41" s="308"/>
    </row>
    <row r="42">
      <c r="A42" s="111"/>
      <c r="B42" s="366" t="b">
        <v>1</v>
      </c>
      <c r="C42" s="367" t="s">
        <v>488</v>
      </c>
      <c r="D42" s="368" t="s">
        <v>489</v>
      </c>
      <c r="E42" s="369" t="s">
        <v>225</v>
      </c>
      <c r="F42" s="368" t="s">
        <v>490</v>
      </c>
      <c r="G42" s="370">
        <v>10.5</v>
      </c>
      <c r="H42" s="322">
        <v>45287.0</v>
      </c>
      <c r="I42" s="323" t="b">
        <v>1</v>
      </c>
      <c r="J42" s="324" t="str">
        <f t="shared" ref="J42:J50" si="5">CONCATENATE(C42,"-",E42, ". ",F42)</f>
        <v>Chapter 01-07. 1. KPI 대시보드 - 대시보드 기획</v>
      </c>
      <c r="K42" s="146"/>
      <c r="L42" s="86"/>
      <c r="M42" s="346">
        <v>45288.0</v>
      </c>
      <c r="N42" s="361">
        <v>10.5</v>
      </c>
      <c r="O42" s="371"/>
      <c r="P42" s="248"/>
      <c r="Q42" s="86"/>
      <c r="R42" s="328">
        <v>44938.0</v>
      </c>
    </row>
    <row r="43">
      <c r="A43" s="111"/>
      <c r="B43" s="366" t="b">
        <v>1</v>
      </c>
      <c r="C43" s="367" t="s">
        <v>488</v>
      </c>
      <c r="D43" s="368" t="s">
        <v>489</v>
      </c>
      <c r="E43" s="372" t="s">
        <v>466</v>
      </c>
      <c r="F43" s="368" t="s">
        <v>491</v>
      </c>
      <c r="G43" s="370">
        <v>43.5</v>
      </c>
      <c r="H43" s="322">
        <v>45289.0</v>
      </c>
      <c r="I43" s="323" t="b">
        <v>1</v>
      </c>
      <c r="J43" s="324" t="str">
        <f t="shared" si="5"/>
        <v>Chapter 01-08. 1. KPI 대시보드 - 대시보드 제작 1. KPI 카드</v>
      </c>
      <c r="K43" s="146"/>
      <c r="L43" s="86"/>
      <c r="M43" s="346">
        <v>45289.0</v>
      </c>
      <c r="N43" s="361">
        <v>43.5</v>
      </c>
      <c r="O43" s="371"/>
      <c r="P43" s="248"/>
      <c r="Q43" s="86"/>
      <c r="R43" s="328">
        <v>44938.0</v>
      </c>
    </row>
    <row r="44">
      <c r="A44" s="111"/>
      <c r="B44" s="366" t="b">
        <v>1</v>
      </c>
      <c r="C44" s="367" t="s">
        <v>488</v>
      </c>
      <c r="D44" s="368" t="s">
        <v>489</v>
      </c>
      <c r="E44" s="372" t="s">
        <v>492</v>
      </c>
      <c r="F44" s="368" t="s">
        <v>493</v>
      </c>
      <c r="G44" s="370">
        <v>32.5</v>
      </c>
      <c r="H44" s="322">
        <v>45289.0</v>
      </c>
      <c r="I44" s="323" t="b">
        <v>1</v>
      </c>
      <c r="J44" s="324" t="str">
        <f t="shared" si="5"/>
        <v>Chapter 01-09. 1. KPI 대시보드 - 대시보드 제작 2. Donut Chart &amp; Scatter Plot &amp; Bar Chart</v>
      </c>
      <c r="K44" s="146"/>
      <c r="L44" s="86"/>
      <c r="M44" s="346">
        <v>45289.0</v>
      </c>
      <c r="N44" s="361">
        <v>32.5</v>
      </c>
      <c r="O44" s="371"/>
      <c r="P44" s="248"/>
      <c r="Q44" s="86"/>
      <c r="R44" s="328">
        <v>44938.0</v>
      </c>
    </row>
    <row r="45">
      <c r="A45" s="111"/>
      <c r="B45" s="366" t="b">
        <v>1</v>
      </c>
      <c r="C45" s="367" t="s">
        <v>488</v>
      </c>
      <c r="D45" s="368" t="s">
        <v>489</v>
      </c>
      <c r="E45" s="372" t="s">
        <v>494</v>
      </c>
      <c r="F45" s="368" t="s">
        <v>495</v>
      </c>
      <c r="G45" s="370">
        <v>11.5</v>
      </c>
      <c r="H45" s="322">
        <v>45655.0</v>
      </c>
      <c r="I45" s="323" t="b">
        <v>1</v>
      </c>
      <c r="J45" s="324" t="str">
        <f t="shared" si="5"/>
        <v>Chapter 01-10. 1. KPI 대시보드 - 대시보드 제작 3. Action</v>
      </c>
      <c r="K45" s="146"/>
      <c r="L45" s="86"/>
      <c r="M45" s="346">
        <v>45289.0</v>
      </c>
      <c r="N45" s="361">
        <v>11.5</v>
      </c>
      <c r="O45" s="371"/>
      <c r="P45" s="248"/>
      <c r="Q45" s="86"/>
      <c r="R45" s="328">
        <v>44938.0</v>
      </c>
    </row>
    <row r="46">
      <c r="A46" s="307"/>
      <c r="B46" s="366" t="b">
        <v>1</v>
      </c>
      <c r="C46" s="367" t="s">
        <v>488</v>
      </c>
      <c r="D46" s="368" t="s">
        <v>489</v>
      </c>
      <c r="E46" s="372" t="s">
        <v>496</v>
      </c>
      <c r="F46" s="368" t="s">
        <v>497</v>
      </c>
      <c r="G46" s="373">
        <v>4.0</v>
      </c>
      <c r="H46" s="322">
        <v>45287.0</v>
      </c>
      <c r="I46" s="323" t="b">
        <v>1</v>
      </c>
      <c r="J46" s="324" t="str">
        <f t="shared" si="5"/>
        <v>Chapter 01-11. 1. KPI 대시보드 - 대시보드 활용 시나리오</v>
      </c>
      <c r="K46" s="146"/>
      <c r="L46" s="160"/>
      <c r="M46" s="346">
        <v>45288.0</v>
      </c>
      <c r="N46" s="361">
        <v>4.0</v>
      </c>
      <c r="O46" s="351"/>
      <c r="P46" s="352"/>
      <c r="Q46" s="315"/>
      <c r="R46" s="328">
        <v>44938.0</v>
      </c>
    </row>
    <row r="47">
      <c r="A47" s="111"/>
      <c r="B47" s="366" t="b">
        <v>1</v>
      </c>
      <c r="C47" s="367" t="s">
        <v>498</v>
      </c>
      <c r="D47" s="368" t="s">
        <v>499</v>
      </c>
      <c r="E47" s="369" t="s">
        <v>191</v>
      </c>
      <c r="F47" s="368" t="s">
        <v>500</v>
      </c>
      <c r="G47" s="370">
        <v>2.5</v>
      </c>
      <c r="H47" s="322">
        <v>45292.0</v>
      </c>
      <c r="I47" s="323" t="b">
        <v>1</v>
      </c>
      <c r="J47" s="324" t="str">
        <f t="shared" si="5"/>
        <v>Chapter 02-04. 2. Metric Hierarchy - 대시보드 기획</v>
      </c>
      <c r="K47" s="146"/>
      <c r="L47" s="86"/>
      <c r="M47" s="325">
        <v>45292.0</v>
      </c>
      <c r="N47" s="361">
        <v>2.5</v>
      </c>
      <c r="O47" s="374" t="s">
        <v>501</v>
      </c>
      <c r="P47" s="248"/>
      <c r="Q47" s="86"/>
      <c r="R47" s="328">
        <v>44938.0</v>
      </c>
    </row>
    <row r="48">
      <c r="A48" s="307"/>
      <c r="B48" s="366" t="b">
        <v>1</v>
      </c>
      <c r="C48" s="367" t="s">
        <v>498</v>
      </c>
      <c r="D48" s="368" t="s">
        <v>499</v>
      </c>
      <c r="E48" s="369" t="s">
        <v>193</v>
      </c>
      <c r="F48" s="368" t="s">
        <v>502</v>
      </c>
      <c r="G48" s="370">
        <v>18.0</v>
      </c>
      <c r="H48" s="322">
        <v>45292.0</v>
      </c>
      <c r="I48" s="323" t="b">
        <v>1</v>
      </c>
      <c r="J48" s="324" t="str">
        <f t="shared" si="5"/>
        <v>Chapter 02-05. 2. Metric Hierarchy - 대시보드 그리기</v>
      </c>
      <c r="K48" s="146"/>
      <c r="L48" s="160"/>
      <c r="M48" s="325">
        <v>45292.0</v>
      </c>
      <c r="N48" s="361">
        <v>18.0</v>
      </c>
      <c r="O48" s="371"/>
      <c r="P48" s="248"/>
      <c r="Q48" s="315"/>
      <c r="R48" s="328">
        <v>44938.0</v>
      </c>
    </row>
    <row r="49">
      <c r="A49" s="111"/>
      <c r="B49" s="366" t="b">
        <v>1</v>
      </c>
      <c r="C49" s="367" t="s">
        <v>503</v>
      </c>
      <c r="D49" s="368" t="s">
        <v>504</v>
      </c>
      <c r="E49" s="369" t="s">
        <v>191</v>
      </c>
      <c r="F49" s="368" t="s">
        <v>505</v>
      </c>
      <c r="G49" s="370">
        <v>4.5</v>
      </c>
      <c r="H49" s="345">
        <v>45308.0</v>
      </c>
      <c r="I49" s="323" t="b">
        <v>1</v>
      </c>
      <c r="J49" s="324" t="str">
        <f t="shared" si="5"/>
        <v>Chapter 03-04. 3. AARRR 대시보드 - 대시보드 기획</v>
      </c>
      <c r="K49" s="146"/>
      <c r="L49" s="86"/>
      <c r="M49" s="346">
        <v>45308.0</v>
      </c>
      <c r="N49" s="361">
        <v>4.5</v>
      </c>
      <c r="O49" s="371"/>
      <c r="P49" s="248"/>
      <c r="Q49" s="86"/>
      <c r="R49" s="328">
        <v>45310.0</v>
      </c>
    </row>
    <row r="50">
      <c r="A50" s="307"/>
      <c r="B50" s="366" t="b">
        <v>1</v>
      </c>
      <c r="C50" s="367" t="s">
        <v>503</v>
      </c>
      <c r="D50" s="368" t="s">
        <v>504</v>
      </c>
      <c r="E50" s="369" t="s">
        <v>193</v>
      </c>
      <c r="F50" s="368" t="s">
        <v>506</v>
      </c>
      <c r="G50" s="370">
        <v>34.5</v>
      </c>
      <c r="H50" s="345">
        <v>45308.0</v>
      </c>
      <c r="I50" s="323" t="b">
        <v>1</v>
      </c>
      <c r="J50" s="324" t="str">
        <f t="shared" si="5"/>
        <v>Chapter 03-05. 3. AARRR 대시보드 - 대시보드 제작</v>
      </c>
      <c r="K50" s="146"/>
      <c r="L50" s="160"/>
      <c r="M50" s="346">
        <v>45308.0</v>
      </c>
      <c r="N50" s="361">
        <v>34.5</v>
      </c>
      <c r="O50" s="371"/>
      <c r="P50" s="248"/>
      <c r="Q50" s="315"/>
      <c r="R50" s="328">
        <v>45310.0</v>
      </c>
    </row>
    <row r="51">
      <c r="A51" s="307"/>
      <c r="B51" s="375"/>
      <c r="C51" s="363" t="s">
        <v>389</v>
      </c>
      <c r="D51" s="376" t="s">
        <v>507</v>
      </c>
      <c r="E51" s="377"/>
      <c r="F51" s="148"/>
      <c r="G51" s="148"/>
      <c r="H51" s="313"/>
      <c r="I51" s="308"/>
      <c r="J51" s="220"/>
      <c r="K51" s="221"/>
      <c r="L51" s="160"/>
      <c r="M51" s="314"/>
      <c r="N51" s="308"/>
      <c r="O51" s="308"/>
      <c r="P51" s="308"/>
      <c r="Q51" s="315"/>
      <c r="R51" s="308"/>
    </row>
    <row r="52">
      <c r="A52" s="307"/>
      <c r="B52" s="366" t="b">
        <v>1</v>
      </c>
      <c r="C52" s="378" t="s">
        <v>488</v>
      </c>
      <c r="D52" s="379" t="s">
        <v>508</v>
      </c>
      <c r="E52" s="369" t="s">
        <v>193</v>
      </c>
      <c r="F52" s="379" t="s">
        <v>509</v>
      </c>
      <c r="G52" s="380">
        <v>5.0</v>
      </c>
      <c r="H52" s="345">
        <v>45296.0</v>
      </c>
      <c r="I52" s="323" t="b">
        <v>1</v>
      </c>
      <c r="J52" s="324" t="str">
        <f t="shared" ref="J52:J55" si="6">CONCATENATE(C52,"-",E52, ". ",F52)</f>
        <v>Chapter 01-05. 1. 광고 효율 대시보드 - 대시보드 기획</v>
      </c>
      <c r="K52" s="146"/>
      <c r="L52" s="160"/>
      <c r="M52" s="325">
        <v>45304.0</v>
      </c>
      <c r="N52" s="381"/>
      <c r="O52" s="360"/>
      <c r="P52" s="327"/>
      <c r="Q52" s="315"/>
      <c r="R52" s="328">
        <v>45310.0</v>
      </c>
    </row>
    <row r="53">
      <c r="A53" s="111"/>
      <c r="B53" s="366" t="b">
        <v>1</v>
      </c>
      <c r="C53" s="378" t="s">
        <v>488</v>
      </c>
      <c r="D53" s="379" t="s">
        <v>508</v>
      </c>
      <c r="E53" s="382" t="s">
        <v>223</v>
      </c>
      <c r="F53" s="368" t="s">
        <v>510</v>
      </c>
      <c r="G53" s="380">
        <v>25.0</v>
      </c>
      <c r="H53" s="345">
        <v>45296.0</v>
      </c>
      <c r="I53" s="323" t="b">
        <v>1</v>
      </c>
      <c r="J53" s="324" t="str">
        <f t="shared" si="6"/>
        <v>Chapter 01-06. 1. 광고 효율 대시보드 - 대시보드 제작 1. KPI 카드</v>
      </c>
      <c r="K53" s="146"/>
      <c r="L53" s="86"/>
      <c r="M53" s="346">
        <v>45304.0</v>
      </c>
      <c r="N53" s="350"/>
      <c r="O53" s="371"/>
      <c r="P53" s="248"/>
      <c r="Q53" s="86"/>
      <c r="R53" s="328">
        <v>45310.0</v>
      </c>
    </row>
    <row r="54">
      <c r="A54" s="111"/>
      <c r="B54" s="366" t="b">
        <v>1</v>
      </c>
      <c r="C54" s="378" t="s">
        <v>488</v>
      </c>
      <c r="D54" s="379" t="s">
        <v>508</v>
      </c>
      <c r="E54" s="319" t="s">
        <v>225</v>
      </c>
      <c r="F54" s="368" t="s">
        <v>511</v>
      </c>
      <c r="G54" s="380">
        <v>25.0</v>
      </c>
      <c r="H54" s="345">
        <v>45296.0</v>
      </c>
      <c r="I54" s="323" t="b">
        <v>1</v>
      </c>
      <c r="J54" s="324" t="str">
        <f t="shared" si="6"/>
        <v>Chapter 01-07. 1. 광고 효율 대시보드 - 대시보드 제작 2. Funnel &amp; Table</v>
      </c>
      <c r="K54" s="146"/>
      <c r="L54" s="86"/>
      <c r="M54" s="346">
        <v>45304.0</v>
      </c>
      <c r="N54" s="350"/>
      <c r="O54" s="371"/>
      <c r="P54" s="248"/>
      <c r="Q54" s="86"/>
      <c r="R54" s="328">
        <v>45310.0</v>
      </c>
    </row>
    <row r="55">
      <c r="A55" s="111"/>
      <c r="B55" s="366" t="b">
        <v>1</v>
      </c>
      <c r="C55" s="378" t="s">
        <v>488</v>
      </c>
      <c r="D55" s="379" t="s">
        <v>508</v>
      </c>
      <c r="E55" s="319" t="s">
        <v>466</v>
      </c>
      <c r="F55" s="368" t="s">
        <v>512</v>
      </c>
      <c r="G55" s="380">
        <v>25.0</v>
      </c>
      <c r="H55" s="345">
        <v>45296.0</v>
      </c>
      <c r="I55" s="323" t="b">
        <v>1</v>
      </c>
      <c r="J55" s="324" t="str">
        <f t="shared" si="6"/>
        <v>Chapter 01-08. 1. 광고 효율 대시보드 - 대시보드 제작 3. Action</v>
      </c>
      <c r="K55" s="146"/>
      <c r="L55" s="86"/>
      <c r="M55" s="346">
        <v>45304.0</v>
      </c>
      <c r="N55" s="350"/>
      <c r="O55" s="371"/>
      <c r="P55" s="248"/>
      <c r="Q55" s="86"/>
      <c r="R55" s="328">
        <v>45310.0</v>
      </c>
    </row>
    <row r="56">
      <c r="A56" s="307"/>
      <c r="B56" s="362"/>
      <c r="C56" s="383" t="s">
        <v>408</v>
      </c>
      <c r="D56" s="364" t="s">
        <v>513</v>
      </c>
      <c r="E56" s="365"/>
      <c r="F56" s="147"/>
      <c r="G56" s="147"/>
      <c r="H56" s="313"/>
      <c r="I56" s="308"/>
      <c r="J56" s="220"/>
      <c r="K56" s="221"/>
      <c r="L56" s="160"/>
      <c r="M56" s="314"/>
      <c r="N56" s="308"/>
      <c r="O56" s="308"/>
      <c r="P56" s="308"/>
      <c r="Q56" s="315"/>
      <c r="R56" s="308"/>
    </row>
    <row r="57">
      <c r="A57" s="111"/>
      <c r="B57" s="366" t="b">
        <v>1</v>
      </c>
      <c r="C57" s="378" t="s">
        <v>488</v>
      </c>
      <c r="D57" s="368" t="s">
        <v>514</v>
      </c>
      <c r="E57" s="369" t="s">
        <v>193</v>
      </c>
      <c r="F57" s="368" t="s">
        <v>515</v>
      </c>
      <c r="G57" s="380">
        <v>5.0</v>
      </c>
      <c r="H57" s="345">
        <v>45294.0</v>
      </c>
      <c r="I57" s="323" t="b">
        <v>1</v>
      </c>
      <c r="J57" s="324" t="str">
        <f t="shared" ref="J57:J79" si="7">CONCATENATE(C57,"-",E57, ". ",F57)</f>
        <v>Chapter 01-05. 1.프로모션 분석 대시보드 - 대시보드 기획</v>
      </c>
      <c r="K57" s="146"/>
      <c r="L57" s="86"/>
      <c r="M57" s="346">
        <v>45294.0</v>
      </c>
      <c r="N57" s="361">
        <v>5.0</v>
      </c>
      <c r="O57" s="371"/>
      <c r="P57" s="248"/>
      <c r="Q57" s="86"/>
      <c r="R57" s="328">
        <v>45310.0</v>
      </c>
    </row>
    <row r="58">
      <c r="A58" s="111"/>
      <c r="B58" s="366" t="b">
        <v>1</v>
      </c>
      <c r="C58" s="378" t="s">
        <v>488</v>
      </c>
      <c r="D58" s="368" t="s">
        <v>514</v>
      </c>
      <c r="E58" s="372" t="s">
        <v>223</v>
      </c>
      <c r="F58" s="368" t="s">
        <v>516</v>
      </c>
      <c r="G58" s="370">
        <v>35.0</v>
      </c>
      <c r="H58" s="345">
        <v>45294.0</v>
      </c>
      <c r="I58" s="323" t="b">
        <v>1</v>
      </c>
      <c r="J58" s="324" t="str">
        <f t="shared" si="7"/>
        <v>Chapter 01-06. 1.프로모션 분석 대시보드 - 대시보드 제작 1. KPI &amp; Coupon</v>
      </c>
      <c r="K58" s="146"/>
      <c r="L58" s="86"/>
      <c r="M58" s="346">
        <v>45294.0</v>
      </c>
      <c r="N58" s="361">
        <v>35.0</v>
      </c>
      <c r="O58" s="371"/>
      <c r="P58" s="248"/>
      <c r="Q58" s="86"/>
      <c r="R58" s="328">
        <v>45310.0</v>
      </c>
    </row>
    <row r="59">
      <c r="A59" s="307"/>
      <c r="B59" s="366" t="b">
        <v>1</v>
      </c>
      <c r="C59" s="378" t="s">
        <v>488</v>
      </c>
      <c r="D59" s="368" t="s">
        <v>514</v>
      </c>
      <c r="E59" s="319" t="s">
        <v>225</v>
      </c>
      <c r="F59" s="368" t="s">
        <v>517</v>
      </c>
      <c r="G59" s="370">
        <v>24.5</v>
      </c>
      <c r="H59" s="322">
        <v>45294.0</v>
      </c>
      <c r="I59" s="323" t="b">
        <v>1</v>
      </c>
      <c r="J59" s="324" t="str">
        <f t="shared" si="7"/>
        <v>Chapter 01-07. 1.프로모션 분석 대시보드 - 대시보드 제작 2. Drill-down &amp; User</v>
      </c>
      <c r="K59" s="146"/>
      <c r="L59" s="160"/>
      <c r="M59" s="346">
        <v>45294.0</v>
      </c>
      <c r="N59" s="361">
        <v>24.5</v>
      </c>
      <c r="O59" s="371"/>
      <c r="P59" s="248"/>
      <c r="Q59" s="315"/>
      <c r="R59" s="328">
        <v>45310.0</v>
      </c>
    </row>
    <row r="60">
      <c r="A60" s="307"/>
      <c r="B60" s="366" t="b">
        <v>1</v>
      </c>
      <c r="C60" s="378" t="s">
        <v>488</v>
      </c>
      <c r="D60" s="368" t="s">
        <v>514</v>
      </c>
      <c r="E60" s="319" t="s">
        <v>466</v>
      </c>
      <c r="F60" s="368" t="s">
        <v>518</v>
      </c>
      <c r="G60" s="370">
        <v>7.0</v>
      </c>
      <c r="H60" s="322">
        <v>45294.0</v>
      </c>
      <c r="I60" s="323" t="b">
        <v>1</v>
      </c>
      <c r="J60" s="324" t="str">
        <f t="shared" si="7"/>
        <v>Chapter 01-08. 1.프로모션 분석 대시보드 - 대시보드 제작 3. Action</v>
      </c>
      <c r="K60" s="146"/>
      <c r="L60" s="160"/>
      <c r="M60" s="346">
        <v>45294.0</v>
      </c>
      <c r="N60" s="361">
        <v>7.0</v>
      </c>
      <c r="O60" s="371"/>
      <c r="P60" s="248"/>
      <c r="Q60" s="315"/>
      <c r="R60" s="328">
        <v>45310.0</v>
      </c>
    </row>
    <row r="61">
      <c r="A61" s="307"/>
      <c r="B61" s="366" t="b">
        <v>1</v>
      </c>
      <c r="C61" s="378" t="s">
        <v>488</v>
      </c>
      <c r="D61" s="368" t="s">
        <v>514</v>
      </c>
      <c r="E61" s="319" t="s">
        <v>492</v>
      </c>
      <c r="F61" s="368" t="s">
        <v>519</v>
      </c>
      <c r="G61" s="373">
        <v>5.0</v>
      </c>
      <c r="H61" s="322">
        <v>45294.0</v>
      </c>
      <c r="I61" s="323" t="b">
        <v>1</v>
      </c>
      <c r="J61" s="324" t="str">
        <f t="shared" si="7"/>
        <v>Chapter 01-09. 1.프로모션 분석 대시보드 - 대시보드 활용 시나리오</v>
      </c>
      <c r="K61" s="146"/>
      <c r="L61" s="160"/>
      <c r="M61" s="346">
        <v>45294.0</v>
      </c>
      <c r="N61" s="361">
        <v>5.0</v>
      </c>
      <c r="O61" s="384" t="s">
        <v>520</v>
      </c>
      <c r="P61" s="352"/>
      <c r="Q61" s="315"/>
      <c r="R61" s="328">
        <v>45310.0</v>
      </c>
    </row>
    <row r="62">
      <c r="A62" s="111"/>
      <c r="B62" s="366" t="b">
        <v>1</v>
      </c>
      <c r="C62" s="378" t="s">
        <v>498</v>
      </c>
      <c r="D62" s="368" t="s">
        <v>521</v>
      </c>
      <c r="E62" s="369" t="s">
        <v>183</v>
      </c>
      <c r="F62" s="385" t="s">
        <v>522</v>
      </c>
      <c r="G62" s="370">
        <v>2.0</v>
      </c>
      <c r="H62" s="345">
        <v>45315.0</v>
      </c>
      <c r="I62" s="323" t="b">
        <v>1</v>
      </c>
      <c r="J62" s="324" t="str">
        <f t="shared" si="7"/>
        <v>Chapter 02-02. 2. 유저 로그 데이터 (커머스) - 대시보드 기획</v>
      </c>
      <c r="K62" s="146"/>
      <c r="L62" s="86"/>
      <c r="M62" s="325">
        <v>45315.0</v>
      </c>
      <c r="N62" s="350"/>
      <c r="O62" s="371"/>
      <c r="P62" s="248"/>
      <c r="Q62" s="86"/>
      <c r="R62" s="328">
        <v>45317.0</v>
      </c>
    </row>
    <row r="63">
      <c r="A63" s="307"/>
      <c r="B63" s="366" t="b">
        <v>1</v>
      </c>
      <c r="C63" s="378" t="s">
        <v>498</v>
      </c>
      <c r="D63" s="368" t="s">
        <v>521</v>
      </c>
      <c r="E63" s="369" t="s">
        <v>189</v>
      </c>
      <c r="F63" s="385" t="s">
        <v>523</v>
      </c>
      <c r="G63" s="370">
        <v>32.0</v>
      </c>
      <c r="H63" s="345">
        <v>45315.0</v>
      </c>
      <c r="I63" s="323" t="b">
        <v>1</v>
      </c>
      <c r="J63" s="324" t="str">
        <f t="shared" si="7"/>
        <v>Chapter 02-03. 2. 유저 로그 데이터 (커머스) - 대시보드 제작 1.차트 제작</v>
      </c>
      <c r="K63" s="146"/>
      <c r="L63" s="160"/>
      <c r="M63" s="325">
        <v>45315.0</v>
      </c>
      <c r="N63" s="350"/>
      <c r="O63" s="371"/>
      <c r="P63" s="248"/>
      <c r="Q63" s="160"/>
      <c r="R63" s="328">
        <v>45317.0</v>
      </c>
    </row>
    <row r="64">
      <c r="A64" s="307"/>
      <c r="B64" s="366" t="b">
        <v>1</v>
      </c>
      <c r="C64" s="378" t="s">
        <v>498</v>
      </c>
      <c r="D64" s="368" t="s">
        <v>521</v>
      </c>
      <c r="E64" s="372" t="s">
        <v>191</v>
      </c>
      <c r="F64" s="385" t="s">
        <v>524</v>
      </c>
      <c r="G64" s="370">
        <v>8.5</v>
      </c>
      <c r="H64" s="345">
        <v>45315.0</v>
      </c>
      <c r="I64" s="323" t="b">
        <v>1</v>
      </c>
      <c r="J64" s="324" t="str">
        <f t="shared" si="7"/>
        <v>Chapter 02-04. 2. 유저 로그 데이터 (커머스) - 대시보드 제작 2. Action</v>
      </c>
      <c r="K64" s="146"/>
      <c r="L64" s="160"/>
      <c r="M64" s="325">
        <v>45315.0</v>
      </c>
      <c r="N64" s="350"/>
      <c r="O64" s="371"/>
      <c r="P64" s="248"/>
      <c r="Q64" s="160"/>
      <c r="R64" s="328">
        <v>45317.0</v>
      </c>
    </row>
    <row r="65">
      <c r="A65" s="307"/>
      <c r="B65" s="366" t="b">
        <v>1</v>
      </c>
      <c r="C65" s="378" t="s">
        <v>498</v>
      </c>
      <c r="D65" s="368" t="s">
        <v>521</v>
      </c>
      <c r="E65" s="372" t="s">
        <v>193</v>
      </c>
      <c r="F65" s="385" t="s">
        <v>525</v>
      </c>
      <c r="G65" s="386">
        <v>10.0</v>
      </c>
      <c r="H65" s="350">
        <v>45315.0</v>
      </c>
      <c r="I65" s="323" t="b">
        <v>1</v>
      </c>
      <c r="J65" s="324" t="str">
        <f t="shared" si="7"/>
        <v>Chapter 02-05. 2. 유저 로그 데이터 (커머스) - 대시보드 활용</v>
      </c>
      <c r="K65" s="146"/>
      <c r="L65" s="160"/>
      <c r="M65" s="325">
        <v>45315.0</v>
      </c>
      <c r="N65" s="350"/>
      <c r="O65" s="351"/>
      <c r="P65" s="352"/>
      <c r="Q65" s="160"/>
      <c r="R65" s="328">
        <v>45317.0</v>
      </c>
    </row>
    <row r="66">
      <c r="A66" s="111"/>
      <c r="B66" s="366" t="b">
        <v>1</v>
      </c>
      <c r="C66" s="378" t="s">
        <v>503</v>
      </c>
      <c r="D66" s="368" t="s">
        <v>526</v>
      </c>
      <c r="E66" s="372" t="s">
        <v>189</v>
      </c>
      <c r="F66" s="385" t="s">
        <v>527</v>
      </c>
      <c r="G66" s="380">
        <v>5.0</v>
      </c>
      <c r="H66" s="345">
        <v>45314.0</v>
      </c>
      <c r="I66" s="323" t="b">
        <v>1</v>
      </c>
      <c r="J66" s="324" t="str">
        <f t="shared" si="7"/>
        <v>Chapter 03-03. 3. 유저 로그 데이터 (게임) - 대시보드 기획</v>
      </c>
      <c r="K66" s="146"/>
      <c r="L66" s="86"/>
      <c r="M66" s="346">
        <v>45314.0</v>
      </c>
      <c r="N66" s="350"/>
      <c r="O66" s="371"/>
      <c r="P66" s="248"/>
      <c r="Q66" s="86"/>
      <c r="R66" s="328">
        <v>45317.0</v>
      </c>
    </row>
    <row r="67">
      <c r="A67" s="307"/>
      <c r="B67" s="366" t="b">
        <v>1</v>
      </c>
      <c r="C67" s="378" t="s">
        <v>503</v>
      </c>
      <c r="D67" s="368" t="s">
        <v>526</v>
      </c>
      <c r="E67" s="372" t="s">
        <v>191</v>
      </c>
      <c r="F67" s="368" t="s">
        <v>528</v>
      </c>
      <c r="G67" s="380">
        <v>25.0</v>
      </c>
      <c r="H67" s="345">
        <v>45314.0</v>
      </c>
      <c r="I67" s="323" t="b">
        <v>1</v>
      </c>
      <c r="J67" s="324" t="str">
        <f t="shared" si="7"/>
        <v>Chapter 03-04. 3. 유저 로그 데이터 (게임) - 대시보드 제작 1.Setup Moment</v>
      </c>
      <c r="K67" s="146"/>
      <c r="L67" s="160"/>
      <c r="M67" s="346">
        <v>45314.0</v>
      </c>
      <c r="N67" s="381"/>
      <c r="O67" s="360"/>
      <c r="P67" s="327"/>
      <c r="Q67" s="315"/>
      <c r="R67" s="328">
        <v>45324.0</v>
      </c>
    </row>
    <row r="68">
      <c r="A68" s="307"/>
      <c r="B68" s="366" t="b">
        <v>1</v>
      </c>
      <c r="C68" s="378" t="s">
        <v>503</v>
      </c>
      <c r="D68" s="368" t="s">
        <v>526</v>
      </c>
      <c r="E68" s="372" t="s">
        <v>193</v>
      </c>
      <c r="F68" s="385" t="s">
        <v>529</v>
      </c>
      <c r="G68" s="380">
        <v>25.0</v>
      </c>
      <c r="H68" s="345">
        <v>45314.0</v>
      </c>
      <c r="I68" s="323" t="b">
        <v>1</v>
      </c>
      <c r="J68" s="324" t="str">
        <f t="shared" si="7"/>
        <v>Chapter 03-05. 3. 유저 로그 데이터 (게임) - 대시보드 제작 2.Retention &amp; Purchase</v>
      </c>
      <c r="K68" s="146"/>
      <c r="L68" s="160"/>
      <c r="M68" s="346">
        <v>45314.0</v>
      </c>
      <c r="N68" s="381"/>
      <c r="O68" s="360"/>
      <c r="P68" s="327"/>
      <c r="Q68" s="315"/>
      <c r="R68" s="328">
        <v>45324.0</v>
      </c>
    </row>
    <row r="69">
      <c r="A69" s="111"/>
      <c r="B69" s="366" t="b">
        <v>1</v>
      </c>
      <c r="C69" s="378" t="s">
        <v>530</v>
      </c>
      <c r="D69" s="368" t="s">
        <v>531</v>
      </c>
      <c r="E69" s="372" t="s">
        <v>189</v>
      </c>
      <c r="F69" s="385" t="s">
        <v>532</v>
      </c>
      <c r="G69" s="380">
        <v>5.0</v>
      </c>
      <c r="H69" s="345">
        <v>45320.0</v>
      </c>
      <c r="I69" s="323" t="b">
        <v>1</v>
      </c>
      <c r="J69" s="324" t="str">
        <f t="shared" si="7"/>
        <v>Chapter 04-03. 4. 유저 로그 데이터 (SNS) - 대시보드 기획</v>
      </c>
      <c r="K69" s="146"/>
      <c r="L69" s="86"/>
      <c r="M69" s="325">
        <v>45320.0</v>
      </c>
      <c r="N69" s="350"/>
      <c r="O69" s="371"/>
      <c r="P69" s="248"/>
      <c r="Q69" s="86"/>
      <c r="R69" s="328">
        <v>45324.0</v>
      </c>
    </row>
    <row r="70">
      <c r="A70" s="307"/>
      <c r="B70" s="366" t="b">
        <v>1</v>
      </c>
      <c r="C70" s="378" t="s">
        <v>530</v>
      </c>
      <c r="D70" s="368" t="s">
        <v>531</v>
      </c>
      <c r="E70" s="372" t="s">
        <v>191</v>
      </c>
      <c r="F70" s="385" t="s">
        <v>533</v>
      </c>
      <c r="G70" s="380">
        <v>25.0</v>
      </c>
      <c r="H70" s="345">
        <v>45320.0</v>
      </c>
      <c r="I70" s="323" t="b">
        <v>1</v>
      </c>
      <c r="J70" s="324" t="str">
        <f t="shared" si="7"/>
        <v>Chapter 04-04. 4. 유저 로그 데이터 (SNS) - 대시보드 그리기</v>
      </c>
      <c r="K70" s="146"/>
      <c r="L70" s="160"/>
      <c r="M70" s="346">
        <v>45320.0</v>
      </c>
      <c r="N70" s="381"/>
      <c r="O70" s="360"/>
      <c r="P70" s="327"/>
      <c r="Q70" s="160"/>
      <c r="R70" s="328">
        <v>45324.0</v>
      </c>
    </row>
    <row r="71">
      <c r="A71" s="111"/>
      <c r="B71" s="366" t="b">
        <v>1</v>
      </c>
      <c r="C71" s="378" t="s">
        <v>534</v>
      </c>
      <c r="D71" s="368" t="s">
        <v>535</v>
      </c>
      <c r="E71" s="372" t="s">
        <v>191</v>
      </c>
      <c r="F71" s="385" t="s">
        <v>536</v>
      </c>
      <c r="G71" s="380">
        <v>5.0</v>
      </c>
      <c r="H71" s="345">
        <v>45319.0</v>
      </c>
      <c r="I71" s="323" t="b">
        <v>1</v>
      </c>
      <c r="J71" s="324" t="str">
        <f t="shared" si="7"/>
        <v>Chapter 05-04. 5. 퍼널 분석- 대시보드 기획</v>
      </c>
      <c r="K71" s="146"/>
      <c r="L71" s="86"/>
      <c r="M71" s="325">
        <v>45319.0</v>
      </c>
      <c r="N71" s="350"/>
      <c r="O71" s="371"/>
      <c r="P71" s="248"/>
      <c r="Q71" s="86"/>
      <c r="R71" s="328">
        <v>45324.0</v>
      </c>
    </row>
    <row r="72">
      <c r="A72" s="307"/>
      <c r="B72" s="366" t="b">
        <v>1</v>
      </c>
      <c r="C72" s="378" t="s">
        <v>534</v>
      </c>
      <c r="D72" s="368" t="s">
        <v>535</v>
      </c>
      <c r="E72" s="319" t="s">
        <v>193</v>
      </c>
      <c r="F72" s="385" t="s">
        <v>537</v>
      </c>
      <c r="G72" s="380">
        <v>25.0</v>
      </c>
      <c r="H72" s="345">
        <v>45319.0</v>
      </c>
      <c r="I72" s="323" t="b">
        <v>1</v>
      </c>
      <c r="J72" s="324" t="str">
        <f t="shared" si="7"/>
        <v>Chapter 05-05. 5. 퍼널 분석- 대시보드 제작 1. Users &amp; CVR</v>
      </c>
      <c r="K72" s="146"/>
      <c r="L72" s="160"/>
      <c r="M72" s="346">
        <v>45319.0</v>
      </c>
      <c r="N72" s="381"/>
      <c r="O72" s="360"/>
      <c r="P72" s="327"/>
      <c r="Q72" s="160"/>
      <c r="R72" s="328">
        <v>45324.0</v>
      </c>
    </row>
    <row r="73">
      <c r="A73" s="307"/>
      <c r="B73" s="366" t="b">
        <v>1</v>
      </c>
      <c r="C73" s="378" t="s">
        <v>534</v>
      </c>
      <c r="D73" s="368" t="s">
        <v>535</v>
      </c>
      <c r="E73" s="319" t="s">
        <v>223</v>
      </c>
      <c r="F73" s="385" t="s">
        <v>538</v>
      </c>
      <c r="G73" s="386">
        <v>10.0</v>
      </c>
      <c r="H73" s="350">
        <v>45319.0</v>
      </c>
      <c r="I73" s="323" t="b">
        <v>1</v>
      </c>
      <c r="J73" s="324" t="str">
        <f t="shared" si="7"/>
        <v>Chapter 05-06. 5. 퍼널 분석- 대시보드 제작 2. StepCVR &amp; CustomCVR</v>
      </c>
      <c r="K73" s="146"/>
      <c r="L73" s="160"/>
      <c r="M73" s="346">
        <v>45318.0</v>
      </c>
      <c r="N73" s="350"/>
      <c r="O73" s="371"/>
      <c r="P73" s="248"/>
      <c r="Q73" s="160"/>
      <c r="R73" s="328">
        <v>45324.0</v>
      </c>
    </row>
    <row r="74">
      <c r="A74" s="111"/>
      <c r="B74" s="366" t="b">
        <v>1</v>
      </c>
      <c r="C74" s="378" t="s">
        <v>539</v>
      </c>
      <c r="D74" s="368" t="s">
        <v>540</v>
      </c>
      <c r="E74" s="372" t="s">
        <v>189</v>
      </c>
      <c r="F74" s="385" t="s">
        <v>541</v>
      </c>
      <c r="G74" s="380">
        <v>5.0</v>
      </c>
      <c r="H74" s="345">
        <v>45321.0</v>
      </c>
      <c r="I74" s="323" t="b">
        <v>1</v>
      </c>
      <c r="J74" s="324" t="str">
        <f t="shared" si="7"/>
        <v>Chapter 06-03. 6. 지역별 구매 패턴 분석 - 대시보드 기획</v>
      </c>
      <c r="K74" s="146"/>
      <c r="L74" s="86"/>
      <c r="M74" s="346">
        <v>45321.0</v>
      </c>
      <c r="N74" s="350"/>
      <c r="O74" s="371"/>
      <c r="P74" s="248"/>
      <c r="Q74" s="86"/>
      <c r="R74" s="328"/>
    </row>
    <row r="75">
      <c r="A75" s="307"/>
      <c r="B75" s="366" t="b">
        <v>1</v>
      </c>
      <c r="C75" s="378" t="s">
        <v>539</v>
      </c>
      <c r="D75" s="368" t="s">
        <v>540</v>
      </c>
      <c r="E75" s="372" t="s">
        <v>191</v>
      </c>
      <c r="F75" s="385" t="s">
        <v>542</v>
      </c>
      <c r="G75" s="380">
        <v>25.0</v>
      </c>
      <c r="H75" s="345">
        <v>45321.0</v>
      </c>
      <c r="I75" s="323" t="b">
        <v>1</v>
      </c>
      <c r="J75" s="324" t="str">
        <f t="shared" si="7"/>
        <v>Chapter 06-04. 6. 지역별 구매 패턴 분석 - 대시보드 그리기</v>
      </c>
      <c r="K75" s="146"/>
      <c r="L75" s="160"/>
      <c r="M75" s="346">
        <v>45321.0</v>
      </c>
      <c r="N75" s="381"/>
      <c r="O75" s="360"/>
      <c r="P75" s="327"/>
      <c r="Q75" s="160"/>
      <c r="R75" s="328"/>
    </row>
    <row r="76">
      <c r="A76" s="111"/>
      <c r="B76" s="366" t="b">
        <v>1</v>
      </c>
      <c r="C76" s="378" t="s">
        <v>543</v>
      </c>
      <c r="D76" s="368" t="s">
        <v>544</v>
      </c>
      <c r="E76" s="372" t="s">
        <v>189</v>
      </c>
      <c r="F76" s="368" t="s">
        <v>545</v>
      </c>
      <c r="G76" s="380">
        <v>5.0</v>
      </c>
      <c r="H76" s="345">
        <v>45321.0</v>
      </c>
      <c r="I76" s="323" t="b">
        <v>1</v>
      </c>
      <c r="J76" s="324" t="str">
        <f t="shared" si="7"/>
        <v>Chapter 07-03. 7. EDA (탐색적 데이터 분석) - 대시보드 기획</v>
      </c>
      <c r="K76" s="146"/>
      <c r="L76" s="86"/>
      <c r="M76" s="346">
        <v>45321.0</v>
      </c>
      <c r="N76" s="381"/>
      <c r="O76" s="333"/>
      <c r="P76" s="327"/>
      <c r="Q76" s="86"/>
      <c r="R76" s="328">
        <v>45324.0</v>
      </c>
    </row>
    <row r="77" ht="15.75" customHeight="1">
      <c r="A77" s="307"/>
      <c r="B77" s="366" t="b">
        <v>1</v>
      </c>
      <c r="C77" s="378" t="s">
        <v>543</v>
      </c>
      <c r="D77" s="368" t="s">
        <v>544</v>
      </c>
      <c r="E77" s="319" t="s">
        <v>191</v>
      </c>
      <c r="F77" s="368" t="s">
        <v>546</v>
      </c>
      <c r="G77" s="380">
        <v>25.0</v>
      </c>
      <c r="H77" s="345">
        <v>45321.0</v>
      </c>
      <c r="I77" s="323" t="b">
        <v>1</v>
      </c>
      <c r="J77" s="324" t="str">
        <f t="shared" si="7"/>
        <v>Chapter 07-04. 7. EDA (탐색적 데이터 분석) - 대시보드 제작 1.시트 설명</v>
      </c>
      <c r="K77" s="146"/>
      <c r="L77" s="160"/>
      <c r="M77" s="346">
        <v>45321.0</v>
      </c>
      <c r="N77" s="381"/>
      <c r="O77" s="326" t="s">
        <v>547</v>
      </c>
      <c r="P77" s="327"/>
      <c r="Q77" s="160"/>
      <c r="R77" s="328">
        <v>45324.0</v>
      </c>
    </row>
    <row r="78" ht="15.75" customHeight="1">
      <c r="A78" s="307"/>
      <c r="B78" s="366" t="b">
        <v>1</v>
      </c>
      <c r="C78" s="378" t="s">
        <v>543</v>
      </c>
      <c r="D78" s="368" t="s">
        <v>544</v>
      </c>
      <c r="E78" s="319" t="s">
        <v>193</v>
      </c>
      <c r="F78" s="368" t="s">
        <v>548</v>
      </c>
      <c r="G78" s="380">
        <v>25.0</v>
      </c>
      <c r="H78" s="345">
        <v>45321.0</v>
      </c>
      <c r="I78" s="323" t="b">
        <v>1</v>
      </c>
      <c r="J78" s="324" t="str">
        <f t="shared" si="7"/>
        <v>Chapter 07-05. 7. EDA (탐색적 데이터 분석) - 대시보드 제작 2. Action</v>
      </c>
      <c r="K78" s="146"/>
      <c r="L78" s="160"/>
      <c r="M78" s="346">
        <v>45321.0</v>
      </c>
      <c r="N78" s="381"/>
      <c r="O78" s="326" t="s">
        <v>549</v>
      </c>
      <c r="P78" s="327"/>
      <c r="Q78" s="160"/>
      <c r="R78" s="328">
        <v>45324.0</v>
      </c>
    </row>
    <row r="79">
      <c r="A79" s="307"/>
      <c r="B79" s="366" t="b">
        <v>1</v>
      </c>
      <c r="C79" s="378" t="s">
        <v>543</v>
      </c>
      <c r="D79" s="368" t="s">
        <v>544</v>
      </c>
      <c r="E79" s="319" t="s">
        <v>223</v>
      </c>
      <c r="F79" s="385" t="s">
        <v>550</v>
      </c>
      <c r="G79" s="386">
        <v>10.0</v>
      </c>
      <c r="H79" s="350">
        <v>45321.0</v>
      </c>
      <c r="I79" s="323" t="b">
        <v>1</v>
      </c>
      <c r="J79" s="324" t="str">
        <f t="shared" si="7"/>
        <v>Chapter 07-06. 7. EDA (탐색적 데이터 분석) - 대시보드 활용 시나리오</v>
      </c>
      <c r="K79" s="146"/>
      <c r="L79" s="160"/>
      <c r="M79" s="346">
        <v>45321.0</v>
      </c>
      <c r="N79" s="381"/>
      <c r="O79" s="333"/>
      <c r="P79" s="327"/>
      <c r="Q79" s="315"/>
      <c r="R79" s="328"/>
    </row>
    <row r="80">
      <c r="A80" s="307"/>
      <c r="B80" s="362"/>
      <c r="C80" s="383" t="s">
        <v>551</v>
      </c>
      <c r="D80" s="364" t="s">
        <v>552</v>
      </c>
      <c r="E80" s="365"/>
      <c r="F80" s="147"/>
      <c r="G80" s="147"/>
      <c r="H80" s="313"/>
      <c r="I80" s="308"/>
      <c r="J80" s="220"/>
      <c r="K80" s="221"/>
      <c r="L80" s="160"/>
      <c r="M80" s="314"/>
      <c r="N80" s="308"/>
      <c r="O80" s="308"/>
      <c r="P80" s="308"/>
      <c r="Q80" s="315"/>
      <c r="R80" s="308"/>
    </row>
    <row r="81">
      <c r="A81" s="111"/>
      <c r="B81" s="366" t="b">
        <v>1</v>
      </c>
      <c r="C81" s="378" t="s">
        <v>488</v>
      </c>
      <c r="D81" s="368" t="s">
        <v>553</v>
      </c>
      <c r="E81" s="369" t="s">
        <v>193</v>
      </c>
      <c r="F81" s="385" t="s">
        <v>554</v>
      </c>
      <c r="G81" s="380">
        <v>5.0</v>
      </c>
      <c r="H81" s="345">
        <v>45321.0</v>
      </c>
      <c r="I81" s="323" t="b">
        <v>1</v>
      </c>
      <c r="J81" s="324" t="str">
        <f>CONCATENATE(C81,"-",E81, ". ",F81)</f>
        <v>Chapter 01-05. 1. CRM 푸시,플친 성과 분석 - 대시보드 기획</v>
      </c>
      <c r="K81" s="146"/>
      <c r="L81" s="86"/>
      <c r="M81" s="325">
        <v>45321.0</v>
      </c>
      <c r="N81" s="381"/>
      <c r="O81" s="333"/>
      <c r="P81" s="327"/>
      <c r="Q81" s="86"/>
      <c r="R81" s="328"/>
    </row>
    <row r="82">
      <c r="A82" s="307"/>
      <c r="B82" s="366" t="b">
        <v>1</v>
      </c>
      <c r="C82" s="378" t="s">
        <v>488</v>
      </c>
      <c r="D82" s="368" t="s">
        <v>553</v>
      </c>
      <c r="E82" s="369" t="s">
        <v>223</v>
      </c>
      <c r="F82" s="387" t="s">
        <v>555</v>
      </c>
      <c r="G82" s="380">
        <v>25.0</v>
      </c>
      <c r="H82" s="345">
        <v>45322.0</v>
      </c>
      <c r="I82" s="323" t="b">
        <v>1</v>
      </c>
      <c r="J82" s="324" t="str">
        <f>CONCATENATE(C82,"-",E82, ". ",#REF!)</f>
        <v>#REF!</v>
      </c>
      <c r="K82" s="146"/>
      <c r="L82" s="160"/>
      <c r="M82" s="325">
        <v>45322.0</v>
      </c>
      <c r="N82" s="381"/>
      <c r="O82" s="360"/>
      <c r="P82" s="327"/>
      <c r="Q82" s="160"/>
      <c r="R82" s="328"/>
    </row>
    <row r="83">
      <c r="A83" s="111"/>
      <c r="B83" s="366" t="b">
        <v>1</v>
      </c>
      <c r="C83" s="378" t="s">
        <v>498</v>
      </c>
      <c r="D83" s="368" t="s">
        <v>556</v>
      </c>
      <c r="E83" s="372" t="s">
        <v>466</v>
      </c>
      <c r="F83" s="385" t="s">
        <v>557</v>
      </c>
      <c r="G83" s="380">
        <v>5.0</v>
      </c>
      <c r="H83" s="345">
        <v>45322.0</v>
      </c>
      <c r="I83" s="323" t="b">
        <v>1</v>
      </c>
      <c r="J83" s="324" t="str">
        <f t="shared" ref="J83:J89" si="8">CONCATENATE(C83,"-",E83, ". ",F83)</f>
        <v>Chapter 02-08. 2. 유저 세그멘테이션_RFM 분석 - 대시보드 기획</v>
      </c>
      <c r="K83" s="146"/>
      <c r="L83" s="86"/>
      <c r="M83" s="388"/>
      <c r="N83" s="381"/>
      <c r="O83" s="360"/>
      <c r="P83" s="327"/>
      <c r="Q83" s="86"/>
      <c r="R83" s="328"/>
    </row>
    <row r="84">
      <c r="A84" s="307"/>
      <c r="B84" s="366" t="b">
        <v>1</v>
      </c>
      <c r="C84" s="378" t="s">
        <v>498</v>
      </c>
      <c r="D84" s="368" t="s">
        <v>556</v>
      </c>
      <c r="E84" s="372" t="s">
        <v>492</v>
      </c>
      <c r="F84" s="385" t="s">
        <v>558</v>
      </c>
      <c r="G84" s="380">
        <v>25.0</v>
      </c>
      <c r="H84" s="345">
        <v>45322.0</v>
      </c>
      <c r="I84" s="323" t="b">
        <v>1</v>
      </c>
      <c r="J84" s="324" t="str">
        <f t="shared" si="8"/>
        <v>Chapter 02-09. 2. 유저 세그멘테이션_RFM 분석 - 대시보드 그리기</v>
      </c>
      <c r="K84" s="146"/>
      <c r="L84" s="160"/>
      <c r="M84" s="388"/>
      <c r="N84" s="381"/>
      <c r="O84" s="333"/>
      <c r="P84" s="327"/>
      <c r="Q84" s="160"/>
      <c r="R84" s="328"/>
    </row>
    <row r="85">
      <c r="A85" s="111"/>
      <c r="B85" s="389" t="b">
        <v>0</v>
      </c>
      <c r="C85" s="390"/>
      <c r="D85" s="391"/>
      <c r="E85" s="369"/>
      <c r="F85" s="391"/>
      <c r="G85" s="248"/>
      <c r="H85" s="345"/>
      <c r="I85" s="345"/>
      <c r="J85" s="324" t="str">
        <f t="shared" si="8"/>
        <v>-. </v>
      </c>
      <c r="K85" s="146"/>
      <c r="L85" s="86"/>
      <c r="M85" s="388"/>
      <c r="N85" s="381"/>
      <c r="O85" s="333"/>
      <c r="P85" s="327"/>
      <c r="Q85" s="86"/>
      <c r="R85" s="392"/>
    </row>
    <row r="86">
      <c r="A86" s="111"/>
      <c r="B86" s="389" t="b">
        <v>0</v>
      </c>
      <c r="C86" s="390"/>
      <c r="D86" s="391"/>
      <c r="E86" s="390"/>
      <c r="F86" s="391"/>
      <c r="G86" s="248"/>
      <c r="H86" s="345"/>
      <c r="I86" s="345"/>
      <c r="J86" s="324" t="str">
        <f t="shared" si="8"/>
        <v>-. </v>
      </c>
      <c r="K86" s="146"/>
      <c r="L86" s="86"/>
      <c r="M86" s="388"/>
      <c r="N86" s="381"/>
      <c r="O86" s="360"/>
      <c r="P86" s="327"/>
      <c r="Q86" s="86"/>
      <c r="R86" s="392"/>
    </row>
    <row r="87">
      <c r="A87" s="111"/>
      <c r="B87" s="389" t="b">
        <v>0</v>
      </c>
      <c r="C87" s="390"/>
      <c r="D87" s="391"/>
      <c r="E87" s="390"/>
      <c r="F87" s="391"/>
      <c r="G87" s="248"/>
      <c r="H87" s="345"/>
      <c r="I87" s="345"/>
      <c r="J87" s="324" t="str">
        <f t="shared" si="8"/>
        <v>-. </v>
      </c>
      <c r="K87" s="146"/>
      <c r="L87" s="86"/>
      <c r="M87" s="346"/>
      <c r="N87" s="350"/>
      <c r="O87" s="371"/>
      <c r="P87" s="248"/>
      <c r="Q87" s="86"/>
      <c r="R87" s="393"/>
    </row>
    <row r="88">
      <c r="A88" s="111"/>
      <c r="B88" s="389" t="b">
        <v>0</v>
      </c>
      <c r="C88" s="390"/>
      <c r="D88" s="391"/>
      <c r="E88" s="390"/>
      <c r="F88" s="391"/>
      <c r="G88" s="248"/>
      <c r="H88" s="345"/>
      <c r="I88" s="345"/>
      <c r="J88" s="324" t="str">
        <f t="shared" si="8"/>
        <v>-. </v>
      </c>
      <c r="K88" s="146"/>
      <c r="L88" s="86"/>
      <c r="M88" s="346"/>
      <c r="N88" s="350"/>
      <c r="O88" s="371"/>
      <c r="P88" s="248"/>
      <c r="Q88" s="86"/>
      <c r="R88" s="394"/>
    </row>
    <row r="89">
      <c r="A89" s="111"/>
      <c r="B89" s="389" t="b">
        <v>0</v>
      </c>
      <c r="C89" s="390"/>
      <c r="D89" s="391"/>
      <c r="E89" s="390"/>
      <c r="F89" s="391"/>
      <c r="G89" s="248"/>
      <c r="H89" s="345"/>
      <c r="I89" s="345"/>
      <c r="J89" s="324" t="str">
        <f t="shared" si="8"/>
        <v>-. </v>
      </c>
      <c r="K89" s="146"/>
      <c r="L89" s="86"/>
      <c r="M89" s="346"/>
      <c r="N89" s="350"/>
      <c r="O89" s="371"/>
      <c r="P89" s="248"/>
      <c r="Q89" s="86"/>
      <c r="R89" s="389"/>
    </row>
  </sheetData>
  <mergeCells count="94"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7:K87"/>
    <mergeCell ref="J88:K88"/>
    <mergeCell ref="J89:K89"/>
    <mergeCell ref="J80:K80"/>
    <mergeCell ref="J81:K81"/>
    <mergeCell ref="J82:K82"/>
    <mergeCell ref="J83:K83"/>
    <mergeCell ref="J84:K84"/>
    <mergeCell ref="J85:K85"/>
    <mergeCell ref="J86:K86"/>
    <mergeCell ref="B1:D1"/>
    <mergeCell ref="E1:H3"/>
    <mergeCell ref="N1:P1"/>
    <mergeCell ref="C2:D2"/>
    <mergeCell ref="N2:P2"/>
    <mergeCell ref="C3:D3"/>
    <mergeCell ref="N3:P3"/>
    <mergeCell ref="C5:H5"/>
    <mergeCell ref="J5:K5"/>
    <mergeCell ref="N5:P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</mergeCells>
  <dataValidations>
    <dataValidation type="decimal" operator="greaterThanOrEqual" allowBlank="1" showDropDown="1" showErrorMessage="1" sqref="G7:I7 G8:H16 G17:I17 G18:H25 G26:I26 G27:H34 G35:I35 G36:H40 G41:I41 G42:H50 G51:I51 G52:H55 G56:I56 G57:H79 G80:I80 G81:H84 G85:I89 M7:N89 P7:P89 R7:R89">
      <formula1>0.0</formula1>
    </dataValidation>
  </dataValidations>
  <hyperlinks>
    <hyperlink r:id="rId2" ref="K1"/>
    <hyperlink r:id="rId3" ref="K2"/>
    <hyperlink r:id="rId4" ref="O47"/>
  </hyperlinks>
  <drawing r:id="rId5"/>
  <legacyDrawing r:id="rId6"/>
</worksheet>
</file>